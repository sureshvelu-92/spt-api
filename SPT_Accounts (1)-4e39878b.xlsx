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5"/>
    <sheet state="visible" name="📈 CUMULATIVE" sheetId="2" r:id="rId6"/>
    <sheet state="visible" name="2026" sheetId="3" r:id="rId7"/>
    <sheet state="visible" name="2027" sheetId="4" r:id="rId8"/>
    <sheet state="visible" name="⚙️ CONFIG" sheetId="5" r:id="rId9"/>
    <sheet state="visible" name="ℹ️ HOW TO USE" sheetId="6" r:id="rId10"/>
  </sheets>
  <definedNames/>
  <calcPr/>
</workbook>
</file>

<file path=xl/sharedStrings.xml><?xml version="1.0" encoding="utf-8"?>
<sst xmlns="http://schemas.openxmlformats.org/spreadsheetml/2006/main" count="356" uniqueCount="165">
  <si>
    <t>🕉  SRI PONNIAMMAN TEMPLE — ANNUAL ACCOUNTS  🕉</t>
  </si>
  <si>
    <t>Multi-Year Dashboard — Select Year to View Annual Summary</t>
  </si>
  <si>
    <t xml:space="preserve">  📅 SELECT YEAR</t>
  </si>
  <si>
    <t>Select Year ▼</t>
  </si>
  <si>
    <t xml:space="preserve">  📊 FINANCIAL SUMMARY</t>
  </si>
  <si>
    <t>ANNUAL BUDGET (₹)</t>
  </si>
  <si>
    <t>DONATIONS PLEDGED (₹)</t>
  </si>
  <si>
    <t>RECEIVED (₹)</t>
  </si>
  <si>
    <t>PENDING (₹)</t>
  </si>
  <si>
    <t>IN-KIND DONATIONS (₹)</t>
  </si>
  <si>
    <t>TOTAL EXPENSES (₹)</t>
  </si>
  <si>
    <t>NET SURPLUS / (DEFICIT) (₹)</t>
  </si>
  <si>
    <t>TOTAL DONORS</t>
  </si>
  <si>
    <t xml:space="preserve">  💰 EXPENSE CATEGORY BREAKDOWN</t>
  </si>
  <si>
    <t>#</t>
  </si>
  <si>
    <t>Category</t>
  </si>
  <si>
    <t>Budget (₹)</t>
  </si>
  <si>
    <t>Actual (₹)</t>
  </si>
  <si>
    <t>Balance (₹)</t>
  </si>
  <si>
    <t>Puja &amp; Rituals</t>
  </si>
  <si>
    <t>Decorations &amp; Flowers</t>
  </si>
  <si>
    <t>Food &amp; Catering</t>
  </si>
  <si>
    <t>Infrastructure &amp; Logistics</t>
  </si>
  <si>
    <t>Miscellaneous</t>
  </si>
  <si>
    <t xml:space="preserve">  Materials</t>
  </si>
  <si>
    <t xml:space="preserve">  Labour</t>
  </si>
  <si>
    <t xml:space="preserve">  Transport</t>
  </si>
  <si>
    <t xml:space="preserve">  Food</t>
  </si>
  <si>
    <t xml:space="preserve">    TOTAL</t>
  </si>
  <si>
    <t xml:space="preserve">  🗂️ EXPENSE TYPE SUMMARY</t>
  </si>
  <si>
    <t>Expense Type</t>
  </si>
  <si>
    <t>Total Amount (₹)</t>
  </si>
  <si>
    <t>Aadi Festival</t>
  </si>
  <si>
    <t>Temple Development</t>
  </si>
  <si>
    <t>Temple Operations</t>
  </si>
  <si>
    <t>Others</t>
  </si>
  <si>
    <t xml:space="preserve">  💝 DONATION TYPE SUMMARY</t>
  </si>
  <si>
    <t>Donation Type</t>
  </si>
  <si>
    <t>Pledged (₹)</t>
  </si>
  <si>
    <t>Received (₹)</t>
  </si>
  <si>
    <t>Pending (₹)</t>
  </si>
  <si>
    <t>Birthday Pooja</t>
  </si>
  <si>
    <t>Anniversary Pooja</t>
  </si>
  <si>
    <t>Pournami Pooja</t>
  </si>
  <si>
    <t>Amavasai Pooja</t>
  </si>
  <si>
    <t>Weekly Pooja</t>
  </si>
  <si>
    <t xml:space="preserve">  🙏 DONATION PAYMENT STATUS</t>
  </si>
  <si>
    <t>Status</t>
  </si>
  <si>
    <t>Count</t>
  </si>
  <si>
    <t>Amount (₹)</t>
  </si>
  <si>
    <t>% of Total</t>
  </si>
  <si>
    <t>Received</t>
  </si>
  <si>
    <t>Pending</t>
  </si>
  <si>
    <t>Partially Received</t>
  </si>
  <si>
    <t xml:space="preserve">  📎 SOURCE DATA LINKS</t>
  </si>
  <si>
    <t>Year</t>
  </si>
  <si>
    <t>Source</t>
  </si>
  <si>
    <t>Type</t>
  </si>
  <si>
    <t>Link</t>
  </si>
  <si>
    <t>2026</t>
  </si>
  <si>
    <t>Aadi Festival 2026</t>
  </si>
  <si>
    <t>Google Sheets</t>
  </si>
  <si>
    <t>🔗  Open Live Sheet</t>
  </si>
  <si>
    <t>2027</t>
  </si>
  <si>
    <t>Aadi Festival 2027</t>
  </si>
  <si>
    <t>🕉  SRI PONNIAMMAN TEMPLE — ANNUAL ACCOUNTS SUMMARY  🕉</t>
  </si>
  <si>
    <t>Year-on-year financial overview across all festivals</t>
  </si>
  <si>
    <t xml:space="preserve">  📈 YEAR-WISE COLLECTION SUMMARY</t>
  </si>
  <si>
    <t>Festival Date</t>
  </si>
  <si>
    <t>Expenses (₹)</t>
  </si>
  <si>
    <t>Net Surplus/(Deficit) (₹)</t>
  </si>
  <si>
    <t>16-Aug-2026</t>
  </si>
  <si>
    <t>—</t>
  </si>
  <si>
    <t xml:space="preserve">  CUMULATIVE TOTAL</t>
  </si>
  <si>
    <t xml:space="preserve">  🗂️ EXPENSE TYPE — YEAR COMPARISON</t>
  </si>
  <si>
    <t>TOTAL</t>
  </si>
  <si>
    <t>🕉  SRI PONNIAMMAN TEMPLE — ANNUAL ACCOUNTS 2026  🕉</t>
  </si>
  <si>
    <t>Financial Year: 2026  |  Live data via Google Sheets IMPORTRANGE</t>
  </si>
  <si>
    <t xml:space="preserve">  🎪 FESTIVALS / EVENTS IN THIS YEAR</t>
  </si>
  <si>
    <t>Festival / Event</t>
  </si>
  <si>
    <t>Date</t>
  </si>
  <si>
    <t>Notes / Description</t>
  </si>
  <si>
    <t xml:space="preserve">  📊 ANNUAL SUMMARY</t>
  </si>
  <si>
    <t>Annual Budget (₹)</t>
  </si>
  <si>
    <t>Total Donations Pledged (₹)</t>
  </si>
  <si>
    <t>Donations Received (₹)</t>
  </si>
  <si>
    <t>Donations Pending (₹)</t>
  </si>
  <si>
    <t>In-Kind Donations (₹)</t>
  </si>
  <si>
    <t>Total Expenses (₹)</t>
  </si>
  <si>
    <t>Net Surplus / (Deficit) (₹)</t>
  </si>
  <si>
    <t>Total Donors</t>
  </si>
  <si>
    <t xml:space="preserve">  💰 EXPENSE CATEGORY BREAKDOWN  (Budget vs Actual)</t>
  </si>
  <si>
    <t>Group</t>
  </si>
  <si>
    <t>Materials</t>
  </si>
  <si>
    <t>Labour</t>
  </si>
  <si>
    <t>Transport</t>
  </si>
  <si>
    <t>Food</t>
  </si>
  <si>
    <t xml:space="preserve">    TOTAL ALL CATEGORIES</t>
  </si>
  <si>
    <t xml:space="preserve">  💸 EXPENSE LOG</t>
  </si>
  <si>
    <t>Vendor / Payee</t>
  </si>
  <si>
    <t>Description</t>
  </si>
  <si>
    <t>Mode</t>
  </si>
  <si>
    <t>Paid By</t>
  </si>
  <si>
    <t>Remarks</t>
  </si>
  <si>
    <t xml:space="preserve">    TOTAL EXPENSES</t>
  </si>
  <si>
    <t xml:space="preserve">  🙏 DONOR LIST</t>
  </si>
  <si>
    <t>Donor Name</t>
  </si>
  <si>
    <t>Pay Mode</t>
  </si>
  <si>
    <t>Date Rcvd</t>
  </si>
  <si>
    <t>Received By</t>
  </si>
  <si>
    <t>Purpose / Notes</t>
  </si>
  <si>
    <t>Person Name</t>
  </si>
  <si>
    <t>Exp. Pay Date</t>
  </si>
  <si>
    <t xml:space="preserve">  🌿 IN-KIND DONATIONS</t>
  </si>
  <si>
    <t>Item Description</t>
  </si>
  <si>
    <t>Qty</t>
  </si>
  <si>
    <t>Est. Value (₹)</t>
  </si>
  <si>
    <t>Date Received</t>
  </si>
  <si>
    <t xml:space="preserve">    TOTAL IN-KIND VALUE</t>
  </si>
  <si>
    <t>📎  Open Live Google Sheet — Aadi Festival 2026</t>
  </si>
  <si>
    <t>🕉  SRI PONNIAMMAN TEMPLE — ANNUAL ACCOUNTS 2027  🕉</t>
  </si>
  <si>
    <t>Financial Year: 2027  |  Live data via Google Sheets IMPORTRANGE</t>
  </si>
  <si>
    <t>📎  Open Live Google Sheet — Aadi Festival 2027</t>
  </si>
  <si>
    <t>⚙️  SOURCE GOOGLE SHEETS CONFIGURATION</t>
  </si>
  <si>
    <t>Enter the Google Sheets URL for each year in Column B. IMPORTRANGE reads live data from there automatically.</t>
  </si>
  <si>
    <t>Google Sheets Source URL</t>
  </si>
  <si>
    <t>Notes</t>
  </si>
  <si>
    <t>https://docs.google.com/spreadsheets/d/12PgU-zwv8gBrFfxvJpoPIPcxUHWup-vsxMH3HWUigZ8/edit</t>
  </si>
  <si>
    <t>✅ Configured</t>
  </si>
  <si>
    <t>https://docs.google.com/spreadsheets/d/1wF8uimz-gnzzmqfjHb8Ua7fudqcoq5SrFyToq2B2IO0/edit</t>
  </si>
  <si>
    <t xml:space="preserve">  📋 SETUP INSTRUCTIONS (ONE TIME ONLY)</t>
  </si>
  <si>
    <t>1. The source Google Sheet must be SHARED with you (or made public).</t>
  </si>
  <si>
    <t>2. In Column B above, confirm/update the Google Sheets URL for each year.</t>
  </si>
  <si>
    <t>3. Upload this file to Google Drive → File → Import → Open as Google Sheets.</t>
  </si>
  <si>
    <t>4. Go to Extensions → Apps Script → paste fix_formulas.gs → Run fixAllFormulas().</t>
  </si>
  <si>
    <t>5. Click 'Allow Access' when prompted for IMPORTRANGE permission.</t>
  </si>
  <si>
    <t>6. Wait 30 seconds — all data loads automatically from the source tracker.</t>
  </si>
  <si>
    <t>🕉  HOW TO USE — GOOGLE SHEETS MASTER TRACKER  🕉</t>
  </si>
  <si>
    <t xml:space="preserve">  🚀 FIRST-TIME SETUP (ONE TIME ONLY)</t>
  </si>
  <si>
    <t>1. Upload this file to Google Drive → right-click → Open with → Google Sheets.</t>
  </si>
  <si>
    <t>2. Go to Extensions → Apps Script → paste the fix_formulas.gs script.</t>
  </si>
  <si>
    <t>3. Run fixAllFormulas() — this sets all IMPORTRANGE formulas correctly.</t>
  </si>
  <si>
    <t>4. Click 'Allow Access' when the prompt appears.</t>
  </si>
  <si>
    <t>5. Wait 10–30 seconds. All data loads automatically from the source tracker.</t>
  </si>
  <si>
    <t xml:space="preserve">  📊 WHAT EACH SHEET CONTAINS</t>
  </si>
  <si>
    <t>📊 DASHBOARD   — Live summary for the selected year. Financial KPIs, category breakdown,</t>
  </si>
  <si>
    <t xml:space="preserve">                expense type summary, donation type summary, and payment status.</t>
  </si>
  <si>
    <t>📈 CUMULATIVE  — Year-over-year comparison table and chart. Expense type cross-year view.</t>
  </si>
  <si>
    <t>2026 / 2027    — Full detail per year: category breakdown, expense type summary,</t>
  </si>
  <si>
    <t xml:space="preserve">                expense log (30 rows), donation type summary, donor list (50 rows),</t>
  </si>
  <si>
    <t xml:space="preserve">                in-kind donations (20 rows).</t>
  </si>
  <si>
    <t>⚙️ CONFIG      — Source Google Sheets URLs for each year.</t>
  </si>
  <si>
    <t xml:space="preserve">  🗂️ EXPENSE TYPES vs CATEGORIES</t>
  </si>
  <si>
    <t>Expense TYPE  = the event/project: Aadi Festival, Temple Development, Temple Operations, Others.</t>
  </si>
  <si>
    <t>Expense CATEGORY = what was spent on: Puja &amp; Rituals, Food &amp; Catering, Materials, Labour, etc.</t>
  </si>
  <si>
    <t>Temple Development categories (Materials, Labour, Transport, Food) are shaded in blue-white.</t>
  </si>
  <si>
    <t xml:space="preserve">  💝 DONATION TYPES</t>
  </si>
  <si>
    <t>Donation TYPE = the occasion: Aadi Festival, Temple Development, Birthday Pooja,</t>
  </si>
  <si>
    <t xml:space="preserve">               Anniversary Pooja, Pournami Pooja, Amavasai Pooja, Weekly Pooja, Others.</t>
  </si>
  <si>
    <t>The Type and Person Name columns in the donor list show this detail per donor.</t>
  </si>
  <si>
    <t xml:space="preserve">  ❗ TROUBLESHOOTING</t>
  </si>
  <si>
    <t>Cells show 0    → Run fixAllFormulas() in Apps Script after uploading to Google Sheets.</t>
  </si>
  <si>
    <t>Cells show #REF! → IMPORTRANGE not authorized. Run authorizeImportRange() first.</t>
  </si>
  <si>
    <t>Dates show numbers → The fix_formulas.gs script handles date formatting automatically.</t>
  </si>
  <si>
    <t>Wrong category   → Category name in source must match exactly (e.g. 'Puja &amp; Rituals').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</si>
</sst>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₹#,##0;(₹#,##0);&quot;-&quot;"/>
    <numFmt numFmtId="165" formatCode="0.0%"/>
    <numFmt numFmtId="166" formatCode="DD-MM-YYYY"/>
  </numFmts>
  <fonts count="34">
    <font>
      <sz val="11.0"/>
      <color theme="1"/>
      <name val="Calibri"/>
      <scheme val="minor"/>
    </font>
    <font>
      <b/>
      <sz val="14.0"/>
      <color rgb="FFFFFFFF"/>
      <name val="Calibri"/>
    </font>
    <font/>
    <font>
      <sz val="11.0"/>
      <color rgb="FFFFFFFF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6.0"/>
      <color rgb="FF8E4B33"/>
      <name val="Calibri"/>
    </font>
    <font>
      <b/>
      <sz val="11.0"/>
      <color rgb="FF000000"/>
      <name val="Calibri"/>
    </font>
    <font>
      <b/>
      <sz val="13.0"/>
      <color rgb="FF5C4034"/>
      <name val="Calibri"/>
    </font>
    <font>
      <b/>
      <sz val="13.0"/>
      <color rgb="FF000000"/>
      <name val="Calibri"/>
    </font>
    <font>
      <b/>
      <sz val="13.0"/>
      <color rgb="FF006400"/>
      <name val="Calibri"/>
    </font>
    <font>
      <sz val="10.0"/>
      <color rgb="FF000000"/>
      <name val="Calibri"/>
    </font>
    <font>
      <sz val="12.0"/>
      <color rgb="FF000000"/>
      <name val="Calibri"/>
    </font>
    <font>
      <sz val="12.0"/>
      <color rgb="FF666666"/>
      <name val="Calibri"/>
    </font>
    <font>
      <b/>
      <i/>
      <sz val="11.0"/>
      <color rgb="FF000000"/>
      <name val="Calibri"/>
    </font>
    <font>
      <b/>
      <sz val="12.0"/>
      <color rgb="FF5C4034"/>
      <name val="Calibri"/>
    </font>
    <font>
      <sz val="11.0"/>
      <color theme="1"/>
      <name val="Calibri"/>
    </font>
    <font>
      <sz val="12.0"/>
      <color rgb="FF006400"/>
      <name val="Calibri"/>
    </font>
    <font>
      <sz val="11.0"/>
      <color rgb="FF374151"/>
      <name val="Calibri"/>
    </font>
    <font>
      <sz val="11.0"/>
      <color rgb="FF000000"/>
      <name val="Calibri"/>
    </font>
    <font>
      <b/>
      <u/>
      <sz val="11.0"/>
      <color rgb="FF0563C1"/>
      <name val="Calibri"/>
    </font>
    <font>
      <b/>
      <sz val="12.0"/>
      <color rgb="FF8E4B33"/>
      <name val="Calibri"/>
    </font>
    <font>
      <sz val="12.0"/>
      <color rgb="FF5C4034"/>
      <name val="Calibri"/>
    </font>
    <font>
      <b/>
      <sz val="12.0"/>
      <color rgb="FF000000"/>
      <name val="Calibri"/>
    </font>
    <font>
      <b/>
      <sz val="12.0"/>
      <color rgb="FF006400"/>
      <name val="Calibri"/>
    </font>
    <font>
      <i/>
      <sz val="9.0"/>
      <color rgb="FF888888"/>
      <name val="Calibri"/>
    </font>
    <font>
      <sz val="11.0"/>
      <color rgb="FF666666"/>
      <name val="Calibri"/>
    </font>
    <font>
      <sz val="11.0"/>
      <color rgb="FF006400"/>
      <name val="Calibri"/>
    </font>
    <font>
      <i/>
      <sz val="10.0"/>
      <color rgb="FFFFFFFF"/>
      <name val="Calibri"/>
    </font>
    <font>
      <b/>
      <sz val="13.0"/>
      <color rgb="FF8E4B33"/>
      <name val="Calibri"/>
    </font>
    <font>
      <sz val="10.0"/>
      <color rgb="FF0563C1"/>
      <name val="Calibri"/>
    </font>
    <font>
      <sz val="10.0"/>
      <color rgb="FF006400"/>
      <name val="Calibri"/>
    </font>
    <font>
      <color theme="1"/>
      <name val="Calibri"/>
      <scheme val="minor"/>
    </font>
    <font>
      <sz val="11.0"/>
      <color rgb="FF11111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8E4B33"/>
        <bgColor rgb="FF8E4B33"/>
      </patternFill>
    </fill>
    <fill>
      <patternFill patternType="solid">
        <fgColor rgb="FFC0714F"/>
        <bgColor rgb="FFC0714F"/>
      </patternFill>
    </fill>
    <fill>
      <patternFill patternType="solid">
        <fgColor rgb="FFDD7E6B"/>
        <bgColor rgb="FFDD7E6B"/>
      </patternFill>
    </fill>
    <fill>
      <patternFill patternType="solid">
        <fgColor rgb="FFFFFF99"/>
        <bgColor rgb="FFFFFF99"/>
      </patternFill>
    </fill>
    <fill>
      <patternFill patternType="solid">
        <fgColor rgb="FFFFDACF"/>
        <bgColor rgb="FFFFDACF"/>
      </patternFill>
    </fill>
    <fill>
      <patternFill patternType="solid">
        <fgColor rgb="FFFFF7F5"/>
        <bgColor rgb="FFFFF7F5"/>
      </patternFill>
    </fill>
    <fill>
      <patternFill patternType="solid">
        <fgColor rgb="FFFFFFFF"/>
        <bgColor rgb="FFFFFFFF"/>
      </patternFill>
    </fill>
    <fill>
      <patternFill patternType="solid">
        <fgColor rgb="FFF8F9FF"/>
        <bgColor rgb="FFF8F9FF"/>
      </patternFill>
    </fill>
    <fill>
      <patternFill patternType="solid">
        <fgColor rgb="FFF0F4FF"/>
        <bgColor rgb="FFF0F4FF"/>
      </patternFill>
    </fill>
    <fill>
      <patternFill patternType="solid">
        <fgColor rgb="FFD4EDDA"/>
        <bgColor rgb="FFD4EDDA"/>
      </patternFill>
    </fill>
    <fill>
      <patternFill patternType="solid">
        <fgColor rgb="FFFCE4EC"/>
        <bgColor rgb="FFFCE4EC"/>
      </patternFill>
    </fill>
    <fill>
      <patternFill patternType="solid">
        <fgColor rgb="FFFFF3CD"/>
        <bgColor rgb="FFFFF3CD"/>
      </patternFill>
    </fill>
    <fill>
      <patternFill patternType="solid">
        <fgColor rgb="FFDCE6F1"/>
        <bgColor rgb="FFDCE6F1"/>
      </patternFill>
    </fill>
    <fill>
      <patternFill patternType="solid">
        <fgColor rgb="FFE8D5CC"/>
        <bgColor rgb="FFE8D5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left" vertical="center"/>
    </xf>
    <xf borderId="1" fillId="2" fontId="5" numFmtId="0" xfId="0" applyAlignment="1" applyBorder="1" applyFont="1">
      <alignment horizontal="center" vertical="center"/>
    </xf>
    <xf borderId="1" fillId="5" fontId="6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left" vertical="center"/>
    </xf>
    <xf borderId="1" fillId="6" fontId="8" numFmtId="164" xfId="0" applyAlignment="1" applyBorder="1" applyFont="1" applyNumberFormat="1">
      <alignment horizontal="right" vertical="center"/>
    </xf>
    <xf borderId="1" fillId="7" fontId="7" numFmtId="0" xfId="0" applyAlignment="1" applyBorder="1" applyFill="1" applyFont="1">
      <alignment horizontal="left" vertical="center"/>
    </xf>
    <xf borderId="1" fillId="7" fontId="9" numFmtId="164" xfId="0" applyAlignment="1" applyBorder="1" applyFont="1" applyNumberFormat="1">
      <alignment horizontal="right" vertical="center"/>
    </xf>
    <xf borderId="1" fillId="8" fontId="7" numFmtId="0" xfId="0" applyAlignment="1" applyBorder="1" applyFill="1" applyFont="1">
      <alignment horizontal="left" vertical="center"/>
    </xf>
    <xf borderId="1" fillId="8" fontId="10" numFmtId="164" xfId="0" applyAlignment="1" applyBorder="1" applyFont="1" applyNumberFormat="1">
      <alignment horizontal="right" vertical="center"/>
    </xf>
    <xf borderId="1" fillId="8" fontId="9" numFmtId="164" xfId="0" applyAlignment="1" applyBorder="1" applyFont="1" applyNumberFormat="1">
      <alignment horizontal="right" vertical="center"/>
    </xf>
    <xf borderId="1" fillId="7" fontId="8" numFmtId="164" xfId="0" applyAlignment="1" applyBorder="1" applyFont="1" applyNumberFormat="1">
      <alignment horizontal="right" vertical="center"/>
    </xf>
    <xf borderId="1" fillId="8" fontId="9" numFmtId="3" xfId="0" applyAlignment="1" applyBorder="1" applyFont="1" applyNumberFormat="1">
      <alignment horizontal="right" vertical="center"/>
    </xf>
    <xf borderId="4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center" vertical="center"/>
    </xf>
    <xf borderId="4" fillId="7" fontId="12" numFmtId="164" xfId="0" applyAlignment="1" applyBorder="1" applyFont="1" applyNumberFormat="1">
      <alignment horizontal="right" vertical="center"/>
    </xf>
    <xf borderId="4" fillId="7" fontId="13" numFmtId="164" xfId="0" applyAlignment="1" applyBorder="1" applyFont="1" applyNumberFormat="1">
      <alignment horizontal="right" vertical="center"/>
    </xf>
    <xf borderId="4" fillId="8" fontId="11" numFmtId="0" xfId="0" applyAlignment="1" applyBorder="1" applyFont="1">
      <alignment horizontal="center" vertical="center"/>
    </xf>
    <xf borderId="4" fillId="8" fontId="12" numFmtId="164" xfId="0" applyAlignment="1" applyBorder="1" applyFont="1" applyNumberFormat="1">
      <alignment horizontal="right" vertical="center"/>
    </xf>
    <xf borderId="4" fillId="8" fontId="13" numFmtId="164" xfId="0" applyAlignment="1" applyBorder="1" applyFont="1" applyNumberFormat="1">
      <alignment horizontal="right" vertical="center"/>
    </xf>
    <xf borderId="4" fillId="9" fontId="11" numFmtId="0" xfId="0" applyAlignment="1" applyBorder="1" applyFill="1" applyFont="1">
      <alignment horizontal="center" vertical="center"/>
    </xf>
    <xf borderId="1" fillId="9" fontId="14" numFmtId="0" xfId="0" applyAlignment="1" applyBorder="1" applyFont="1">
      <alignment horizontal="left" vertical="center"/>
    </xf>
    <xf borderId="4" fillId="9" fontId="12" numFmtId="164" xfId="0" applyAlignment="1" applyBorder="1" applyFont="1" applyNumberFormat="1">
      <alignment horizontal="right" vertical="center"/>
    </xf>
    <xf borderId="4" fillId="9" fontId="13" numFmtId="164" xfId="0" applyAlignment="1" applyBorder="1" applyFont="1" applyNumberFormat="1">
      <alignment horizontal="right" vertical="center"/>
    </xf>
    <xf borderId="4" fillId="10" fontId="11" numFmtId="0" xfId="0" applyAlignment="1" applyBorder="1" applyFill="1" applyFont="1">
      <alignment horizontal="center" vertical="center"/>
    </xf>
    <xf borderId="1" fillId="10" fontId="14" numFmtId="0" xfId="0" applyAlignment="1" applyBorder="1" applyFont="1">
      <alignment horizontal="left" vertical="center"/>
    </xf>
    <xf borderId="4" fillId="10" fontId="12" numFmtId="164" xfId="0" applyAlignment="1" applyBorder="1" applyFont="1" applyNumberFormat="1">
      <alignment horizontal="right" vertical="center"/>
    </xf>
    <xf borderId="4" fillId="10" fontId="13" numFmtId="164" xfId="0" applyAlignment="1" applyBorder="1" applyFont="1" applyNumberFormat="1">
      <alignment horizontal="right" vertical="center"/>
    </xf>
    <xf borderId="1" fillId="6" fontId="15" numFmtId="0" xfId="0" applyAlignment="1" applyBorder="1" applyFont="1">
      <alignment horizontal="left" vertical="center"/>
    </xf>
    <xf borderId="4" fillId="6" fontId="15" numFmtId="164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left" vertical="center"/>
    </xf>
    <xf borderId="4" fillId="7" fontId="16" numFmtId="0" xfId="0" applyBorder="1" applyFont="1"/>
    <xf borderId="4" fillId="8" fontId="16" numFmtId="0" xfId="0" applyBorder="1" applyFont="1"/>
    <xf borderId="4" fillId="6" fontId="16" numFmtId="0" xfId="0" applyBorder="1" applyFont="1"/>
    <xf borderId="4" fillId="7" fontId="17" numFmtId="164" xfId="0" applyAlignment="1" applyBorder="1" applyFont="1" applyNumberFormat="1">
      <alignment horizontal="right" vertical="center"/>
    </xf>
    <xf borderId="4" fillId="8" fontId="17" numFmtId="164" xfId="0" applyAlignment="1" applyBorder="1" applyFont="1" applyNumberFormat="1">
      <alignment horizontal="right" vertical="center"/>
    </xf>
    <xf borderId="1" fillId="11" fontId="18" numFmtId="0" xfId="0" applyAlignment="1" applyBorder="1" applyFill="1" applyFont="1">
      <alignment horizontal="left" vertical="center"/>
    </xf>
    <xf borderId="4" fillId="7" fontId="12" numFmtId="3" xfId="0" applyAlignment="1" applyBorder="1" applyFont="1" applyNumberFormat="1">
      <alignment horizontal="right" vertical="center"/>
    </xf>
    <xf borderId="4" fillId="7" fontId="12" numFmtId="165" xfId="0" applyAlignment="1" applyBorder="1" applyFont="1" applyNumberFormat="1">
      <alignment horizontal="right" vertical="center"/>
    </xf>
    <xf borderId="1" fillId="12" fontId="18" numFmtId="0" xfId="0" applyAlignment="1" applyBorder="1" applyFill="1" applyFont="1">
      <alignment horizontal="left" vertical="center"/>
    </xf>
    <xf borderId="4" fillId="8" fontId="12" numFmtId="3" xfId="0" applyAlignment="1" applyBorder="1" applyFont="1" applyNumberFormat="1">
      <alignment horizontal="right" vertical="center"/>
    </xf>
    <xf borderId="4" fillId="8" fontId="12" numFmtId="165" xfId="0" applyAlignment="1" applyBorder="1" applyFont="1" applyNumberFormat="1">
      <alignment horizontal="right" vertical="center"/>
    </xf>
    <xf borderId="1" fillId="13" fontId="18" numFmtId="0" xfId="0" applyAlignment="1" applyBorder="1" applyFill="1" applyFont="1">
      <alignment horizontal="left" vertical="center"/>
    </xf>
    <xf borderId="4" fillId="7" fontId="7" numFmtId="0" xfId="0" applyAlignment="1" applyBorder="1" applyFont="1">
      <alignment horizontal="center" vertical="center"/>
    </xf>
    <xf borderId="1" fillId="7" fontId="19" numFmtId="0" xfId="0" applyAlignment="1" applyBorder="1" applyFont="1">
      <alignment horizontal="left" vertical="center"/>
    </xf>
    <xf borderId="4" fillId="7" fontId="19" numFmtId="0" xfId="0" applyAlignment="1" applyBorder="1" applyFont="1">
      <alignment horizontal="center" vertical="center"/>
    </xf>
    <xf borderId="1" fillId="14" fontId="20" numFmtId="0" xfId="0" applyAlignment="1" applyBorder="1" applyFill="1" applyFont="1">
      <alignment horizontal="center" vertical="center"/>
    </xf>
    <xf borderId="4" fillId="8" fontId="7" numFmtId="0" xfId="0" applyAlignment="1" applyBorder="1" applyFont="1">
      <alignment horizontal="center" vertical="center"/>
    </xf>
    <xf borderId="1" fillId="8" fontId="19" numFmtId="0" xfId="0" applyAlignment="1" applyBorder="1" applyFont="1">
      <alignment horizontal="left" vertical="center"/>
    </xf>
    <xf borderId="4" fillId="8" fontId="19" numFmtId="0" xfId="0" applyAlignment="1" applyBorder="1" applyFont="1">
      <alignment horizontal="center" vertical="center"/>
    </xf>
    <xf borderId="4" fillId="7" fontId="21" numFmtId="0" xfId="0" applyAlignment="1" applyBorder="1" applyFont="1">
      <alignment horizontal="center" vertical="center"/>
    </xf>
    <xf borderId="4" fillId="7" fontId="22" numFmtId="164" xfId="0" applyAlignment="1" applyBorder="1" applyFont="1" applyNumberFormat="1">
      <alignment horizontal="right" vertical="center"/>
    </xf>
    <xf borderId="4" fillId="8" fontId="21" numFmtId="0" xfId="0" applyAlignment="1" applyBorder="1" applyFont="1">
      <alignment horizontal="center" vertical="center"/>
    </xf>
    <xf borderId="4" fillId="8" fontId="22" numFmtId="164" xfId="0" applyAlignment="1" applyBorder="1" applyFont="1" applyNumberFormat="1">
      <alignment horizontal="right" vertical="center"/>
    </xf>
    <xf borderId="4" fillId="7" fontId="7" numFmtId="0" xfId="0" applyBorder="1" applyFont="1"/>
    <xf borderId="4" fillId="8" fontId="7" numFmtId="0" xfId="0" applyBorder="1" applyFont="1"/>
    <xf borderId="4" fillId="6" fontId="15" numFmtId="0" xfId="0" applyBorder="1" applyFont="1"/>
    <xf borderId="1" fillId="3" fontId="5" numFmtId="0" xfId="0" applyAlignment="1" applyBorder="1" applyFont="1">
      <alignment horizontal="center" vertical="center"/>
    </xf>
    <xf borderId="4" fillId="7" fontId="16" numFmtId="0" xfId="0" applyAlignment="1" applyBorder="1" applyFont="1">
      <alignment horizontal="center" vertical="center"/>
    </xf>
    <xf borderId="1" fillId="5" fontId="16" numFmtId="0" xfId="0" applyBorder="1" applyFont="1"/>
    <xf borderId="4" fillId="5" fontId="16" numFmtId="0" xfId="0" applyBorder="1" applyFont="1"/>
    <xf borderId="1" fillId="6" fontId="15" numFmtId="164" xfId="0" applyAlignment="1" applyBorder="1" applyFont="1" applyNumberFormat="1">
      <alignment horizontal="right" vertical="center"/>
    </xf>
    <xf borderId="1" fillId="8" fontId="23" numFmtId="164" xfId="0" applyAlignment="1" applyBorder="1" applyFont="1" applyNumberFormat="1">
      <alignment horizontal="right" vertical="center"/>
    </xf>
    <xf borderId="1" fillId="7" fontId="24" numFmtId="164" xfId="0" applyAlignment="1" applyBorder="1" applyFont="1" applyNumberFormat="1">
      <alignment horizontal="right" vertical="center"/>
    </xf>
    <xf borderId="1" fillId="7" fontId="23" numFmtId="164" xfId="0" applyAlignment="1" applyBorder="1" applyFont="1" applyNumberFormat="1">
      <alignment horizontal="right" vertical="center"/>
    </xf>
    <xf borderId="1" fillId="8" fontId="23" numFmtId="3" xfId="0" applyAlignment="1" applyBorder="1" applyFont="1" applyNumberFormat="1">
      <alignment horizontal="right" vertical="center"/>
    </xf>
    <xf borderId="4" fillId="7" fontId="7" numFmtId="0" xfId="0" applyAlignment="1" applyBorder="1" applyFont="1">
      <alignment horizontal="left" vertical="center"/>
    </xf>
    <xf borderId="4" fillId="7" fontId="25" numFmtId="0" xfId="0" applyAlignment="1" applyBorder="1" applyFont="1">
      <alignment horizontal="left" vertical="center"/>
    </xf>
    <xf borderId="4" fillId="8" fontId="7" numFmtId="0" xfId="0" applyAlignment="1" applyBorder="1" applyFont="1">
      <alignment horizontal="left" vertical="center"/>
    </xf>
    <xf borderId="4" fillId="8" fontId="25" numFmtId="0" xfId="0" applyAlignment="1" applyBorder="1" applyFont="1">
      <alignment horizontal="left" vertical="center"/>
    </xf>
    <xf borderId="4" fillId="9" fontId="7" numFmtId="0" xfId="0" applyAlignment="1" applyBorder="1" applyFont="1">
      <alignment horizontal="left" vertical="center"/>
    </xf>
    <xf borderId="4" fillId="9" fontId="25" numFmtId="0" xfId="0" applyAlignment="1" applyBorder="1" applyFont="1">
      <alignment horizontal="left" vertical="center"/>
    </xf>
    <xf borderId="4" fillId="9" fontId="16" numFmtId="0" xfId="0" applyBorder="1" applyFont="1"/>
    <xf borderId="4" fillId="10" fontId="7" numFmtId="0" xfId="0" applyAlignment="1" applyBorder="1" applyFont="1">
      <alignment horizontal="left" vertical="center"/>
    </xf>
    <xf borderId="4" fillId="10" fontId="25" numFmtId="0" xfId="0" applyAlignment="1" applyBorder="1" applyFont="1">
      <alignment horizontal="left" vertical="center"/>
    </xf>
    <xf borderId="4" fillId="10" fontId="16" numFmtId="0" xfId="0" applyBorder="1" applyFont="1"/>
    <xf borderId="4" fillId="15" fontId="16" numFmtId="0" xfId="0" applyBorder="1" applyFill="1" applyFont="1"/>
    <xf borderId="4" fillId="7" fontId="19" numFmtId="166" xfId="0" applyAlignment="1" applyBorder="1" applyFont="1" applyNumberFormat="1">
      <alignment horizontal="center" vertical="center"/>
    </xf>
    <xf borderId="4" fillId="7" fontId="19" numFmtId="0" xfId="0" applyAlignment="1" applyBorder="1" applyFont="1">
      <alignment horizontal="left" vertical="center"/>
    </xf>
    <xf borderId="4" fillId="7" fontId="19" numFmtId="164" xfId="0" applyAlignment="1" applyBorder="1" applyFont="1" applyNumberFormat="1">
      <alignment horizontal="right" vertical="center"/>
    </xf>
    <xf borderId="4" fillId="8" fontId="19" numFmtId="166" xfId="0" applyAlignment="1" applyBorder="1" applyFont="1" applyNumberFormat="1">
      <alignment horizontal="center" vertical="center"/>
    </xf>
    <xf borderId="4" fillId="8" fontId="19" numFmtId="0" xfId="0" applyAlignment="1" applyBorder="1" applyFont="1">
      <alignment horizontal="left" vertical="center"/>
    </xf>
    <xf borderId="4" fillId="8" fontId="19" numFmtId="164" xfId="0" applyAlignment="1" applyBorder="1" applyFont="1" applyNumberFormat="1">
      <alignment horizontal="right" vertical="center"/>
    </xf>
    <xf borderId="1" fillId="7" fontId="12" numFmtId="0" xfId="0" applyAlignment="1" applyBorder="1" applyFont="1">
      <alignment horizontal="left" vertical="center"/>
    </xf>
    <xf borderId="4" fillId="7" fontId="18" numFmtId="0" xfId="0" applyAlignment="1" applyBorder="1" applyFont="1">
      <alignment horizontal="center" vertical="center"/>
    </xf>
    <xf borderId="4" fillId="7" fontId="26" numFmtId="0" xfId="0" applyAlignment="1" applyBorder="1" applyFont="1">
      <alignment horizontal="left" shrinkToFit="0" vertical="center" wrapText="1"/>
    </xf>
    <xf borderId="1" fillId="8" fontId="12" numFmtId="0" xfId="0" applyAlignment="1" applyBorder="1" applyFont="1">
      <alignment horizontal="left" vertical="center"/>
    </xf>
    <xf borderId="4" fillId="8" fontId="18" numFmtId="0" xfId="0" applyAlignment="1" applyBorder="1" applyFont="1">
      <alignment horizontal="center" vertical="center"/>
    </xf>
    <xf borderId="4" fillId="8" fontId="26" numFmtId="0" xfId="0" applyAlignment="1" applyBorder="1" applyFont="1">
      <alignment horizontal="left" shrinkToFit="0" vertical="center" wrapText="1"/>
    </xf>
    <xf borderId="4" fillId="7" fontId="19" numFmtId="0" xfId="0" applyAlignment="1" applyBorder="1" applyFont="1">
      <alignment horizontal="left" shrinkToFit="0" vertical="center" wrapText="1"/>
    </xf>
    <xf borderId="4" fillId="7" fontId="27" numFmtId="164" xfId="0" applyAlignment="1" applyBorder="1" applyFont="1" applyNumberFormat="1">
      <alignment horizontal="right" vertical="center"/>
    </xf>
    <xf borderId="4" fillId="8" fontId="19" numFmtId="0" xfId="0" applyAlignment="1" applyBorder="1" applyFont="1">
      <alignment horizontal="left" shrinkToFit="0" vertical="center" wrapText="1"/>
    </xf>
    <xf borderId="4" fillId="8" fontId="27" numFmtId="164" xfId="0" applyAlignment="1" applyBorder="1" applyFont="1" applyNumberFormat="1">
      <alignment horizontal="right" vertical="center"/>
    </xf>
    <xf borderId="1" fillId="3" fontId="28" numFmtId="0" xfId="0" applyAlignment="1" applyBorder="1" applyFont="1">
      <alignment horizontal="center" shrinkToFit="0" vertical="center" wrapText="1"/>
    </xf>
    <xf borderId="4" fillId="7" fontId="29" numFmtId="0" xfId="0" applyAlignment="1" applyBorder="1" applyFont="1">
      <alignment horizontal="center" vertical="center"/>
    </xf>
    <xf borderId="4" fillId="7" fontId="30" numFmtId="0" xfId="0" applyAlignment="1" applyBorder="1" applyFont="1">
      <alignment horizontal="left" vertical="center"/>
    </xf>
    <xf borderId="4" fillId="7" fontId="31" numFmtId="0" xfId="0" applyAlignment="1" applyBorder="1" applyFont="1">
      <alignment horizontal="left" vertical="center"/>
    </xf>
    <xf borderId="4" fillId="7" fontId="26" numFmtId="0" xfId="0" applyAlignment="1" applyBorder="1" applyFont="1">
      <alignment horizontal="left" vertical="center"/>
    </xf>
    <xf borderId="0" fillId="0" fontId="32" numFmtId="0" xfId="0" applyFont="1"/>
    <xf borderId="4" fillId="8" fontId="29" numFmtId="0" xfId="0" applyAlignment="1" applyBorder="1" applyFont="1">
      <alignment horizontal="center" vertical="center"/>
    </xf>
    <xf borderId="4" fillId="8" fontId="30" numFmtId="0" xfId="0" applyAlignment="1" applyBorder="1" applyFont="1">
      <alignment horizontal="left" vertical="center"/>
    </xf>
    <xf borderId="4" fillId="8" fontId="31" numFmtId="0" xfId="0" applyAlignment="1" applyBorder="1" applyFont="1">
      <alignment horizontal="left" vertical="center"/>
    </xf>
    <xf borderId="4" fillId="8" fontId="26" numFmtId="0" xfId="0" applyAlignment="1" applyBorder="1" applyFont="1">
      <alignment horizontal="left" vertical="center"/>
    </xf>
    <xf borderId="1" fillId="7" fontId="33" numFmtId="0" xfId="0" applyAlignment="1" applyBorder="1" applyFont="1">
      <alignment horizontal="left" shrinkToFit="0" vertical="center" wrapText="1"/>
    </xf>
    <xf borderId="1" fillId="8" fontId="3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Year-wise Festival Collections (Received vs Expenses)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'📈 CUMULATIVE'!$F$5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'📈 CUMULATIVE'!$B$6:$B$7</c:f>
            </c:strRef>
          </c:cat>
          <c:val>
            <c:numRef>
              <c:f>'📈 CUMULATIVE'!$F$6:$F$7</c:f>
              <c:numCache/>
            </c:numRef>
          </c:val>
        </c:ser>
        <c:ser>
          <c:idx val="1"/>
          <c:order val="1"/>
          <c:tx>
            <c:strRef>
              <c:f>'📈 CUMULATIVE'!$G$5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'📈 CUMULATIVE'!$B$6:$B$7</c:f>
            </c:strRef>
          </c:cat>
          <c:val>
            <c:numRef>
              <c:f>'📈 CUMULATIVE'!$G$6:$G$7</c:f>
              <c:numCache/>
            </c:numRef>
          </c:val>
        </c:ser>
        <c:ser>
          <c:idx val="2"/>
          <c:order val="2"/>
          <c:tx>
            <c:strRef>
              <c:f>'📈 CUMULATIVE'!$H$5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'📈 CUMULATIVE'!$B$6:$B$7</c:f>
            </c:strRef>
          </c:cat>
          <c:val>
            <c:numRef>
              <c:f>'📈 CUMULATIVE'!$H$6:$H$7</c:f>
              <c:numCache/>
            </c:numRef>
          </c:val>
        </c:ser>
        <c:axId val="1332141470"/>
        <c:axId val="100204991"/>
      </c:barChart>
      <c:catAx>
        <c:axId val="1332141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04991"/>
      </c:catAx>
      <c:valAx>
        <c:axId val="100204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141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8639175" cy="50387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PgU-zwv8gBrFfxvJpoPIPcxUHWup-vsxMH3HWUigZ8/edit" TargetMode="External"/><Relationship Id="rId2" Type="http://schemas.openxmlformats.org/officeDocument/2006/relationships/hyperlink" Target="https://docs.google.com/spreadsheets/d/1wF8uimz-gnzzmqfjHb8Ua7fudqcoq5SrFyToq2B2IO0/ed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PgU-zwv8gBrFfxvJpoPIPcxUHWup-vsxMH3HWUigZ8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F8uimz-gnzzmqfjHb8Ua7fudqcoq5SrFyToq2B2IO0/edi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8.0"/>
    <col customWidth="1" min="4" max="4" width="22.0"/>
    <col customWidth="1" min="5" max="5" width="10.0"/>
    <col customWidth="1" min="6" max="6" width="22.0"/>
    <col customWidth="1" min="7" max="7" width="16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  <c r="B2" s="2"/>
      <c r="C2" s="2"/>
      <c r="D2" s="2"/>
      <c r="E2" s="2"/>
      <c r="F2" s="2"/>
      <c r="G2" s="3"/>
    </row>
    <row r="3" ht="6.0" customHeight="1"/>
    <row r="4" ht="19.5" customHeight="1">
      <c r="A4" s="5" t="s">
        <v>2</v>
      </c>
      <c r="B4" s="2"/>
      <c r="C4" s="2"/>
      <c r="D4" s="2"/>
      <c r="E4" s="2"/>
      <c r="F4" s="2"/>
      <c r="G4" s="3"/>
    </row>
    <row r="5" ht="27.75" customHeight="1">
      <c r="A5" s="6" t="s">
        <v>3</v>
      </c>
      <c r="B5" s="2"/>
      <c r="C5" s="3"/>
      <c r="D5" s="7">
        <v>2026.0</v>
      </c>
      <c r="E5" s="2"/>
      <c r="F5" s="2"/>
      <c r="G5" s="3"/>
    </row>
    <row r="6" ht="6.0" customHeight="1"/>
    <row r="7" ht="19.5" customHeight="1">
      <c r="A7" s="5" t="s">
        <v>4</v>
      </c>
      <c r="B7" s="2"/>
      <c r="C7" s="2"/>
      <c r="D7" s="2"/>
      <c r="E7" s="2"/>
      <c r="F7" s="2"/>
      <c r="G7" s="3"/>
    </row>
    <row r="8" ht="21.75" customHeight="1">
      <c r="A8" s="8" t="s">
        <v>5</v>
      </c>
      <c r="B8" s="2"/>
      <c r="C8" s="3"/>
      <c r="D8" s="9">
        <f t="array" ref="D8">IFERROR(INDIRECT($D$5&amp;"!D9"),0)</f>
        <v>177000</v>
      </c>
      <c r="E8" s="2"/>
      <c r="F8" s="2"/>
      <c r="G8" s="3"/>
    </row>
    <row r="9" ht="21.75" customHeight="1">
      <c r="A9" s="10" t="s">
        <v>6</v>
      </c>
      <c r="B9" s="2"/>
      <c r="C9" s="3"/>
      <c r="D9" s="11">
        <f t="array" ref="D9">IFERROR(INDIRECT($D$5&amp;"!D10"),0)</f>
        <v>307803</v>
      </c>
      <c r="E9" s="2"/>
      <c r="F9" s="2"/>
      <c r="G9" s="3"/>
    </row>
    <row r="10" ht="21.75" customHeight="1">
      <c r="A10" s="12" t="s">
        <v>7</v>
      </c>
      <c r="B10" s="2"/>
      <c r="C10" s="3"/>
      <c r="D10" s="13">
        <f t="array" ref="D10">IFERROR(INDIRECT($D$5&amp;"!D11"),0)</f>
        <v>247803</v>
      </c>
      <c r="E10" s="2"/>
      <c r="F10" s="2"/>
      <c r="G10" s="3"/>
    </row>
    <row r="11" ht="21.75" customHeight="1">
      <c r="A11" s="10" t="s">
        <v>8</v>
      </c>
      <c r="B11" s="2"/>
      <c r="C11" s="3"/>
      <c r="D11" s="11">
        <f t="array" ref="D11">IFERROR(INDIRECT($D$5&amp;"!D12"),0)</f>
        <v>60000</v>
      </c>
      <c r="E11" s="2"/>
      <c r="F11" s="2"/>
      <c r="G11" s="3"/>
    </row>
    <row r="12" ht="21.75" customHeight="1">
      <c r="A12" s="12" t="s">
        <v>9</v>
      </c>
      <c r="B12" s="2"/>
      <c r="C12" s="3"/>
      <c r="D12" s="14">
        <f t="array" ref="D12">IFERROR(INDIRECT($D$5&amp;"!D13"),0)</f>
        <v>8400</v>
      </c>
      <c r="E12" s="2"/>
      <c r="F12" s="2"/>
      <c r="G12" s="3"/>
    </row>
    <row r="13" ht="21.75" customHeight="1">
      <c r="A13" s="10" t="s">
        <v>10</v>
      </c>
      <c r="B13" s="2"/>
      <c r="C13" s="3"/>
      <c r="D13" s="15">
        <f t="array" ref="D13">IFERROR(INDIRECT($D$5&amp;"!D14"),0)</f>
        <v>147622</v>
      </c>
      <c r="E13" s="2"/>
      <c r="F13" s="2"/>
      <c r="G13" s="3"/>
    </row>
    <row r="14" ht="21.75" customHeight="1">
      <c r="A14" s="8" t="s">
        <v>11</v>
      </c>
      <c r="B14" s="2"/>
      <c r="C14" s="3"/>
      <c r="D14" s="9">
        <f t="array" ref="D14">IFERROR(INDIRECT($D$5&amp;"!D15"),0)</f>
        <v>29378</v>
      </c>
      <c r="E14" s="2"/>
      <c r="F14" s="2"/>
      <c r="G14" s="3"/>
    </row>
    <row r="15" ht="21.75" customHeight="1">
      <c r="A15" s="12" t="s">
        <v>12</v>
      </c>
      <c r="B15" s="2"/>
      <c r="C15" s="3"/>
      <c r="D15" s="16">
        <f t="array" ref="D15">IFERROR(INDIRECT($D$5&amp;"!D16"),0)</f>
        <v>47</v>
      </c>
      <c r="E15" s="2"/>
      <c r="F15" s="2"/>
      <c r="G15" s="3"/>
    </row>
    <row r="16" ht="6.0" customHeight="1"/>
    <row r="17" ht="19.5" customHeight="1">
      <c r="A17" s="5" t="s">
        <v>13</v>
      </c>
      <c r="B17" s="2"/>
      <c r="C17" s="2"/>
      <c r="D17" s="2"/>
      <c r="E17" s="2"/>
      <c r="F17" s="2"/>
      <c r="G17" s="3"/>
    </row>
    <row r="18" ht="18.0" customHeight="1">
      <c r="A18" s="17" t="s">
        <v>14</v>
      </c>
      <c r="B18" s="18" t="s">
        <v>15</v>
      </c>
      <c r="C18" s="3"/>
      <c r="D18" s="17" t="s">
        <v>16</v>
      </c>
      <c r="E18" s="17" t="s">
        <v>17</v>
      </c>
      <c r="F18" s="17" t="s">
        <v>18</v>
      </c>
    </row>
    <row r="19" ht="18.0" customHeight="1">
      <c r="A19" s="19">
        <v>1.0</v>
      </c>
      <c r="B19" s="10" t="s">
        <v>19</v>
      </c>
      <c r="C19" s="3"/>
      <c r="D19" s="20">
        <f t="array" ref="D19">IFERROR(INDIRECT($D$5&amp;"!D20"),0)</f>
        <v>52000</v>
      </c>
      <c r="E19" s="20">
        <f t="array" ref="E19">IFERROR(INDIRECT($D$5&amp;"!E20"),0)</f>
        <v>16502</v>
      </c>
      <c r="F19" s="21">
        <f t="shared" ref="F19:F28" si="1">D19-E19</f>
        <v>35498</v>
      </c>
    </row>
    <row r="20" ht="18.0" customHeight="1">
      <c r="A20" s="22">
        <v>2.0</v>
      </c>
      <c r="B20" s="12" t="s">
        <v>20</v>
      </c>
      <c r="C20" s="3"/>
      <c r="D20" s="23">
        <f t="array" ref="D20">IFERROR(INDIRECT($D$5&amp;"!D21"),0)</f>
        <v>32500</v>
      </c>
      <c r="E20" s="23">
        <f t="array" ref="E20">IFERROR(INDIRECT($D$5&amp;"!E21"),0)</f>
        <v>7002</v>
      </c>
      <c r="F20" s="24">
        <f t="shared" si="1"/>
        <v>25498</v>
      </c>
    </row>
    <row r="21" ht="18.0" customHeight="1">
      <c r="A21" s="19">
        <v>3.0</v>
      </c>
      <c r="B21" s="10" t="s">
        <v>21</v>
      </c>
      <c r="C21" s="3"/>
      <c r="D21" s="20">
        <f t="array" ref="D21">IFERROR(INDIRECT($D$5&amp;"!D22"),0)</f>
        <v>45000</v>
      </c>
      <c r="E21" s="20">
        <f t="array" ref="E21">IFERROR(INDIRECT($D$5&amp;"!E22"),0)</f>
        <v>40000</v>
      </c>
      <c r="F21" s="21">
        <f t="shared" si="1"/>
        <v>5000</v>
      </c>
    </row>
    <row r="22" ht="18.0" customHeight="1">
      <c r="A22" s="22">
        <v>4.0</v>
      </c>
      <c r="B22" s="12" t="s">
        <v>22</v>
      </c>
      <c r="C22" s="3"/>
      <c r="D22" s="23">
        <f t="array" ref="D22">IFERROR(INDIRECT($D$5&amp;"!D23"),0)</f>
        <v>28500</v>
      </c>
      <c r="E22" s="23">
        <f t="array" ref="E22">IFERROR(INDIRECT($D$5&amp;"!E23"),0)</f>
        <v>4787</v>
      </c>
      <c r="F22" s="24">
        <f t="shared" si="1"/>
        <v>23713</v>
      </c>
    </row>
    <row r="23" ht="18.0" customHeight="1">
      <c r="A23" s="19">
        <v>5.0</v>
      </c>
      <c r="B23" s="10" t="s">
        <v>23</v>
      </c>
      <c r="C23" s="3"/>
      <c r="D23" s="20">
        <f t="array" ref="D23">IFERROR(INDIRECT($D$5&amp;"!D24"),0)</f>
        <v>19000</v>
      </c>
      <c r="E23" s="20">
        <f t="array" ref="E23">IFERROR(INDIRECT($D$5&amp;"!E24"),0)</f>
        <v>2961</v>
      </c>
      <c r="F23" s="21">
        <f t="shared" si="1"/>
        <v>16039</v>
      </c>
    </row>
    <row r="24" ht="18.0" customHeight="1">
      <c r="A24" s="25">
        <v>6.0</v>
      </c>
      <c r="B24" s="26" t="s">
        <v>24</v>
      </c>
      <c r="C24" s="3"/>
      <c r="D24" s="27">
        <f t="array" ref="D24">IFERROR(INDIRECT($D$5&amp;"!D25"),0)</f>
        <v>0</v>
      </c>
      <c r="E24" s="27">
        <f t="array" ref="E24">IFERROR(INDIRECT($D$5&amp;"!E25"),0)</f>
        <v>63850</v>
      </c>
      <c r="F24" s="28">
        <f t="shared" si="1"/>
        <v>-63850</v>
      </c>
    </row>
    <row r="25" ht="18.0" customHeight="1">
      <c r="A25" s="29">
        <v>7.0</v>
      </c>
      <c r="B25" s="30" t="s">
        <v>25</v>
      </c>
      <c r="C25" s="3"/>
      <c r="D25" s="31">
        <f t="array" ref="D25">IFERROR(INDIRECT($D$5&amp;"!D26"),0)</f>
        <v>0</v>
      </c>
      <c r="E25" s="31">
        <f t="array" ref="E25">IFERROR(INDIRECT($D$5&amp;"!E26"),0)</f>
        <v>10000</v>
      </c>
      <c r="F25" s="32">
        <f t="shared" si="1"/>
        <v>-10000</v>
      </c>
    </row>
    <row r="26" ht="18.0" customHeight="1">
      <c r="A26" s="25">
        <v>8.0</v>
      </c>
      <c r="B26" s="26" t="s">
        <v>26</v>
      </c>
      <c r="C26" s="3"/>
      <c r="D26" s="27">
        <f t="array" ref="D26">IFERROR(INDIRECT($D$5&amp;"!D27"),0)</f>
        <v>0</v>
      </c>
      <c r="E26" s="27">
        <f t="array" ref="E26">IFERROR(INDIRECT($D$5&amp;"!E27"),0)</f>
        <v>1600</v>
      </c>
      <c r="F26" s="28">
        <f t="shared" si="1"/>
        <v>-1600</v>
      </c>
    </row>
    <row r="27" ht="18.0" customHeight="1">
      <c r="A27" s="29">
        <v>9.0</v>
      </c>
      <c r="B27" s="30" t="s">
        <v>27</v>
      </c>
      <c r="C27" s="3"/>
      <c r="D27" s="31">
        <f t="array" ref="D27">IFERROR(INDIRECT($D$5&amp;"!D28"),0)</f>
        <v>0</v>
      </c>
      <c r="E27" s="31">
        <f t="array" ref="E27">IFERROR(INDIRECT($D$5&amp;"!E28"),0)</f>
        <v>920</v>
      </c>
      <c r="F27" s="32">
        <f t="shared" si="1"/>
        <v>-920</v>
      </c>
    </row>
    <row r="28" ht="19.5" customHeight="1">
      <c r="A28" s="33" t="s">
        <v>28</v>
      </c>
      <c r="B28" s="2"/>
      <c r="C28" s="3"/>
      <c r="D28" s="34">
        <f t="shared" ref="D28:E28" si="2">SUM(D19:D27)</f>
        <v>177000</v>
      </c>
      <c r="E28" s="34">
        <f t="shared" si="2"/>
        <v>147622</v>
      </c>
      <c r="F28" s="34">
        <f t="shared" si="1"/>
        <v>29378</v>
      </c>
    </row>
    <row r="29" ht="3.75" customHeight="1"/>
    <row r="30" ht="19.5" customHeight="1">
      <c r="A30" s="35" t="s">
        <v>29</v>
      </c>
      <c r="B30" s="2"/>
      <c r="C30" s="2"/>
      <c r="D30" s="2"/>
      <c r="E30" s="2"/>
      <c r="F30" s="2"/>
      <c r="G30" s="3"/>
    </row>
    <row r="31" ht="18.0" customHeight="1">
      <c r="A31" s="18" t="s">
        <v>30</v>
      </c>
      <c r="B31" s="2"/>
      <c r="C31" s="3"/>
      <c r="D31" s="17" t="s">
        <v>31</v>
      </c>
    </row>
    <row r="32" ht="18.0" customHeight="1">
      <c r="A32" s="10" t="s">
        <v>32</v>
      </c>
      <c r="B32" s="2"/>
      <c r="C32" s="3"/>
      <c r="D32" s="20">
        <f t="array" ref="D32">IFERROR(INDIRECT($D$5&amp;"!D33"),0)</f>
        <v>70852</v>
      </c>
      <c r="E32" s="36"/>
      <c r="F32" s="36"/>
      <c r="G32" s="36"/>
    </row>
    <row r="33" ht="18.0" customHeight="1">
      <c r="A33" s="12" t="s">
        <v>33</v>
      </c>
      <c r="B33" s="2"/>
      <c r="C33" s="3"/>
      <c r="D33" s="23">
        <f t="array" ref="D33">IFERROR(INDIRECT($D$5&amp;"!D34"),0)</f>
        <v>76770</v>
      </c>
      <c r="E33" s="37"/>
      <c r="F33" s="37"/>
      <c r="G33" s="37"/>
    </row>
    <row r="34" ht="18.0" customHeight="1">
      <c r="A34" s="10" t="s">
        <v>34</v>
      </c>
      <c r="B34" s="2"/>
      <c r="C34" s="3"/>
      <c r="D34" s="20">
        <f t="array" ref="D34">IFERROR(INDIRECT($D$5&amp;"!D35"),0)</f>
        <v>0</v>
      </c>
      <c r="E34" s="36"/>
      <c r="F34" s="36"/>
      <c r="G34" s="36"/>
    </row>
    <row r="35" ht="18.0" customHeight="1">
      <c r="A35" s="12" t="s">
        <v>35</v>
      </c>
      <c r="B35" s="2"/>
      <c r="C35" s="3"/>
      <c r="D35" s="23">
        <f t="array" ref="D35">IFERROR(INDIRECT($D$5&amp;"!D36"),0)</f>
        <v>0</v>
      </c>
      <c r="E35" s="37"/>
      <c r="F35" s="37"/>
      <c r="G35" s="37"/>
    </row>
    <row r="36" ht="19.5" customHeight="1">
      <c r="A36" s="33" t="s">
        <v>28</v>
      </c>
      <c r="B36" s="2"/>
      <c r="C36" s="3"/>
      <c r="D36" s="34">
        <f>SUM(D32:D35)</f>
        <v>147622</v>
      </c>
      <c r="E36" s="38"/>
      <c r="F36" s="38"/>
      <c r="G36" s="38"/>
    </row>
    <row r="37" ht="3.75" customHeight="1"/>
    <row r="38" ht="19.5" customHeight="1">
      <c r="A38" s="35" t="s">
        <v>36</v>
      </c>
      <c r="B38" s="2"/>
      <c r="C38" s="2"/>
      <c r="D38" s="2"/>
      <c r="E38" s="2"/>
      <c r="F38" s="2"/>
      <c r="G38" s="3"/>
    </row>
    <row r="39" ht="18.0" customHeight="1">
      <c r="A39" s="18" t="s">
        <v>37</v>
      </c>
      <c r="B39" s="2"/>
      <c r="C39" s="3"/>
      <c r="D39" s="17" t="s">
        <v>38</v>
      </c>
      <c r="E39" s="17" t="s">
        <v>39</v>
      </c>
      <c r="F39" s="17" t="s">
        <v>40</v>
      </c>
    </row>
    <row r="40" ht="18.0" customHeight="1">
      <c r="A40" s="10" t="s">
        <v>32</v>
      </c>
      <c r="B40" s="2"/>
      <c r="C40" s="3"/>
      <c r="D40" s="20">
        <f t="array" ref="D40">IFERROR(INDIRECT($D$5&amp;"!D75"),0)</f>
        <v>204603</v>
      </c>
      <c r="E40" s="39">
        <f t="array" ref="E40">IFERROR(INDIRECT($D$5&amp;"!E75"),0)</f>
        <v>149603</v>
      </c>
      <c r="F40" s="20">
        <f t="shared" ref="F40:F48" si="3">D40-E40</f>
        <v>55000</v>
      </c>
      <c r="G40" s="36"/>
    </row>
    <row r="41" ht="18.0" customHeight="1">
      <c r="A41" s="12" t="s">
        <v>33</v>
      </c>
      <c r="B41" s="2"/>
      <c r="C41" s="3"/>
      <c r="D41" s="23">
        <f t="array" ref="D41">IFERROR(INDIRECT($D$5&amp;"!D76"),0)</f>
        <v>88500</v>
      </c>
      <c r="E41" s="40">
        <f t="array" ref="E41">IFERROR(INDIRECT($D$5&amp;"!E76"),0)</f>
        <v>83500</v>
      </c>
      <c r="F41" s="23">
        <f t="shared" si="3"/>
        <v>5000</v>
      </c>
      <c r="G41" s="37"/>
    </row>
    <row r="42" ht="18.0" customHeight="1">
      <c r="A42" s="10" t="s">
        <v>41</v>
      </c>
      <c r="B42" s="2"/>
      <c r="C42" s="3"/>
      <c r="D42" s="20">
        <f t="array" ref="D42">IFERROR(INDIRECT($D$5&amp;"!D77"),0)</f>
        <v>800</v>
      </c>
      <c r="E42" s="39">
        <f t="array" ref="E42">IFERROR(INDIRECT($D$5&amp;"!E77"),0)</f>
        <v>800</v>
      </c>
      <c r="F42" s="20">
        <f t="shared" si="3"/>
        <v>0</v>
      </c>
      <c r="G42" s="36"/>
    </row>
    <row r="43" ht="18.0" customHeight="1">
      <c r="A43" s="12" t="s">
        <v>42</v>
      </c>
      <c r="B43" s="2"/>
      <c r="C43" s="3"/>
      <c r="D43" s="23">
        <f t="array" ref="D43">IFERROR(INDIRECT($D$5&amp;"!D78"),0)</f>
        <v>0</v>
      </c>
      <c r="E43" s="40">
        <f t="array" ref="E43">IFERROR(INDIRECT($D$5&amp;"!E78"),0)</f>
        <v>0</v>
      </c>
      <c r="F43" s="23">
        <f t="shared" si="3"/>
        <v>0</v>
      </c>
      <c r="G43" s="37"/>
    </row>
    <row r="44" ht="18.0" customHeight="1">
      <c r="A44" s="10" t="s">
        <v>43</v>
      </c>
      <c r="B44" s="2"/>
      <c r="C44" s="3"/>
      <c r="D44" s="20">
        <f t="array" ref="D44">IFERROR(INDIRECT($D$5&amp;"!D79"),0)</f>
        <v>0</v>
      </c>
      <c r="E44" s="39">
        <f t="array" ref="E44">IFERROR(INDIRECT($D$5&amp;"!E79"),0)</f>
        <v>0</v>
      </c>
      <c r="F44" s="20">
        <f t="shared" si="3"/>
        <v>0</v>
      </c>
      <c r="G44" s="36"/>
    </row>
    <row r="45" ht="18.0" customHeight="1">
      <c r="A45" s="12" t="s">
        <v>44</v>
      </c>
      <c r="B45" s="2"/>
      <c r="C45" s="3"/>
      <c r="D45" s="23">
        <f t="array" ref="D45">IFERROR(INDIRECT($D$5&amp;"!D80"),0)</f>
        <v>0</v>
      </c>
      <c r="E45" s="40">
        <f t="array" ref="E45">IFERROR(INDIRECT($D$5&amp;"!E80"),0)</f>
        <v>0</v>
      </c>
      <c r="F45" s="23">
        <f t="shared" si="3"/>
        <v>0</v>
      </c>
      <c r="G45" s="37"/>
    </row>
    <row r="46" ht="18.0" customHeight="1">
      <c r="A46" s="10" t="s">
        <v>45</v>
      </c>
      <c r="B46" s="2"/>
      <c r="C46" s="3"/>
      <c r="D46" s="20">
        <f t="array" ref="D46">IFERROR(INDIRECT($D$5&amp;"!D81"),0)</f>
        <v>500</v>
      </c>
      <c r="E46" s="39">
        <f t="array" ref="E46">IFERROR(INDIRECT($D$5&amp;"!E81"),0)</f>
        <v>500</v>
      </c>
      <c r="F46" s="20">
        <f t="shared" si="3"/>
        <v>0</v>
      </c>
      <c r="G46" s="36"/>
    </row>
    <row r="47" ht="18.0" customHeight="1">
      <c r="A47" s="12" t="s">
        <v>35</v>
      </c>
      <c r="B47" s="2"/>
      <c r="C47" s="3"/>
      <c r="D47" s="23">
        <f t="array" ref="D47">IFERROR(INDIRECT($D$5&amp;"!D82"),0)</f>
        <v>13400</v>
      </c>
      <c r="E47" s="40">
        <f t="array" ref="E47">IFERROR(INDIRECT($D$5&amp;"!E82"),0)</f>
        <v>13400</v>
      </c>
      <c r="F47" s="23">
        <f t="shared" si="3"/>
        <v>0</v>
      </c>
      <c r="G47" s="37"/>
    </row>
    <row r="48" ht="19.5" customHeight="1">
      <c r="A48" s="33" t="s">
        <v>28</v>
      </c>
      <c r="B48" s="2"/>
      <c r="C48" s="3"/>
      <c r="D48" s="34">
        <f t="shared" ref="D48:E48" si="4">SUM(D40:D47)</f>
        <v>307803</v>
      </c>
      <c r="E48" s="34">
        <f t="shared" si="4"/>
        <v>247803</v>
      </c>
      <c r="F48" s="34">
        <f t="shared" si="3"/>
        <v>60000</v>
      </c>
      <c r="G48" s="38"/>
    </row>
    <row r="49" ht="3.75" customHeight="1"/>
    <row r="50" ht="19.5" customHeight="1">
      <c r="A50" s="5" t="s">
        <v>46</v>
      </c>
      <c r="B50" s="2"/>
      <c r="C50" s="2"/>
      <c r="D50" s="2"/>
      <c r="E50" s="2"/>
      <c r="F50" s="2"/>
      <c r="G50" s="3"/>
    </row>
    <row r="51" ht="18.0" customHeight="1">
      <c r="A51" s="18" t="s">
        <v>47</v>
      </c>
      <c r="B51" s="3"/>
      <c r="C51" s="17" t="s">
        <v>48</v>
      </c>
      <c r="D51" s="17" t="s">
        <v>49</v>
      </c>
      <c r="E51" s="17" t="s">
        <v>50</v>
      </c>
    </row>
    <row r="52" ht="18.0" customHeight="1">
      <c r="A52" s="41" t="s">
        <v>51</v>
      </c>
      <c r="B52" s="3"/>
      <c r="C52" s="42">
        <f t="array" ref="C52">IFERROR(COUNTIF(INDIRECT($D$5&amp;"!G87:G136"),"Received"),0)</f>
        <v>38</v>
      </c>
      <c r="D52" s="20">
        <f t="array" ref="D52">IFERROR(SUMIF(INDIRECT($D$5&amp;"!G87:G136"),"Received",INDIRECT($D$5&amp;"!E87:E136")),0)</f>
        <v>247803</v>
      </c>
      <c r="E52" s="43">
        <f t="shared" ref="E52:E54" si="5">IFERROR(D52/INDIRECT($D$5&amp;"!E137"),0)</f>
        <v>1</v>
      </c>
    </row>
    <row r="53" ht="18.0" customHeight="1">
      <c r="A53" s="44" t="s">
        <v>52</v>
      </c>
      <c r="B53" s="3"/>
      <c r="C53" s="45">
        <f t="array" ref="C53">IFERROR(COUNTIF(INDIRECT($D$5&amp;"!G87:G136"),"Pending"),0)</f>
        <v>9</v>
      </c>
      <c r="D53" s="23">
        <f t="array" ref="D53">IFERROR(SUMIF(INDIRECT($D$5&amp;"!G87:G136"),"Pending",INDIRECT($D$5&amp;"!E87:E136")),0)</f>
        <v>0</v>
      </c>
      <c r="E53" s="46">
        <f t="shared" si="5"/>
        <v>0</v>
      </c>
    </row>
    <row r="54" ht="18.0" customHeight="1">
      <c r="A54" s="47" t="s">
        <v>53</v>
      </c>
      <c r="B54" s="3"/>
      <c r="C54" s="42">
        <f t="array" ref="C54">IFERROR(COUNTIF(INDIRECT($D$5&amp;"!G87:G136"),"Partially Received"),0)</f>
        <v>0</v>
      </c>
      <c r="D54" s="20">
        <f t="array" ref="D54">IFERROR(SUMIF(INDIRECT($D$5&amp;"!G87:G136"),"Partially Received",INDIRECT($D$5&amp;"!E87:E136")),0)</f>
        <v>0</v>
      </c>
      <c r="E54" s="43">
        <f t="shared" si="5"/>
        <v>0</v>
      </c>
    </row>
    <row r="55" ht="6.0" customHeight="1"/>
    <row r="56" ht="19.5" customHeight="1">
      <c r="A56" s="5" t="s">
        <v>54</v>
      </c>
      <c r="B56" s="2"/>
      <c r="C56" s="2"/>
      <c r="D56" s="2"/>
      <c r="E56" s="2"/>
      <c r="F56" s="2"/>
      <c r="G56" s="3"/>
    </row>
    <row r="57" ht="18.0" customHeight="1">
      <c r="A57" s="17" t="s">
        <v>55</v>
      </c>
      <c r="B57" s="18" t="s">
        <v>56</v>
      </c>
      <c r="C57" s="3"/>
      <c r="D57" s="17" t="s">
        <v>57</v>
      </c>
      <c r="E57" s="18" t="s">
        <v>58</v>
      </c>
      <c r="F57" s="2"/>
      <c r="G57" s="3"/>
    </row>
    <row r="58" ht="18.0" customHeight="1">
      <c r="A58" s="48" t="s">
        <v>59</v>
      </c>
      <c r="B58" s="49" t="s">
        <v>60</v>
      </c>
      <c r="C58" s="3"/>
      <c r="D58" s="50" t="s">
        <v>61</v>
      </c>
      <c r="E58" s="51" t="s">
        <v>62</v>
      </c>
      <c r="F58" s="2"/>
      <c r="G58" s="3"/>
    </row>
    <row r="59" ht="18.0" customHeight="1">
      <c r="A59" s="52" t="s">
        <v>63</v>
      </c>
      <c r="B59" s="53" t="s">
        <v>64</v>
      </c>
      <c r="C59" s="3"/>
      <c r="D59" s="54" t="s">
        <v>61</v>
      </c>
      <c r="E59" s="51" t="s">
        <v>62</v>
      </c>
      <c r="F59" s="2"/>
      <c r="G59" s="3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A56:G56"/>
    <mergeCell ref="B57:C57"/>
    <mergeCell ref="E57:G57"/>
    <mergeCell ref="B58:C58"/>
    <mergeCell ref="E58:G58"/>
    <mergeCell ref="B59:C59"/>
    <mergeCell ref="E59:G59"/>
    <mergeCell ref="A47:C47"/>
    <mergeCell ref="A48:C48"/>
    <mergeCell ref="A50:G50"/>
    <mergeCell ref="A51:B51"/>
    <mergeCell ref="A52:B52"/>
    <mergeCell ref="A53:B53"/>
    <mergeCell ref="A54:B54"/>
    <mergeCell ref="A8:C8"/>
    <mergeCell ref="A9:C9"/>
    <mergeCell ref="A10:C10"/>
    <mergeCell ref="A11:C11"/>
    <mergeCell ref="A12:C12"/>
    <mergeCell ref="A13:C13"/>
    <mergeCell ref="A14:C14"/>
    <mergeCell ref="A15:C15"/>
    <mergeCell ref="A1:G1"/>
    <mergeCell ref="A2:G2"/>
    <mergeCell ref="A4:G4"/>
    <mergeCell ref="A5:C5"/>
    <mergeCell ref="D5:G5"/>
    <mergeCell ref="A7:G7"/>
    <mergeCell ref="D8:G8"/>
    <mergeCell ref="D9:G9"/>
    <mergeCell ref="D10:G10"/>
    <mergeCell ref="D11:G11"/>
    <mergeCell ref="D12:G12"/>
    <mergeCell ref="D13:G13"/>
    <mergeCell ref="D14:G14"/>
    <mergeCell ref="D15:G15"/>
    <mergeCell ref="A17:G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C28"/>
    <mergeCell ref="A30:G30"/>
    <mergeCell ref="A31:C31"/>
    <mergeCell ref="A32:C32"/>
    <mergeCell ref="A33:C33"/>
    <mergeCell ref="A34:C34"/>
    <mergeCell ref="A35:C35"/>
    <mergeCell ref="A36:C36"/>
    <mergeCell ref="A38:G38"/>
    <mergeCell ref="A39:C39"/>
    <mergeCell ref="A40:C40"/>
    <mergeCell ref="A41:C41"/>
    <mergeCell ref="A42:C42"/>
    <mergeCell ref="A43:C43"/>
    <mergeCell ref="A44:C44"/>
    <mergeCell ref="A45:C45"/>
    <mergeCell ref="A46:C46"/>
  </mergeCells>
  <dataValidations>
    <dataValidation type="list" allowBlank="1" sqref="D5">
      <formula1>"2026,2027"</formula1>
    </dataValidation>
  </dataValidations>
  <hyperlinks>
    <hyperlink r:id="rId1" ref="E58"/>
    <hyperlink r:id="rId2" ref="E59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29"/>
    <col customWidth="1" min="2" max="2" width="12.0"/>
    <col customWidth="1" min="3" max="3" width="20.0"/>
    <col customWidth="1" min="4" max="8" width="18.0"/>
    <col customWidth="1" min="9" max="9" width="22.0"/>
    <col customWidth="1" min="10" max="26" width="8.71"/>
  </cols>
  <sheetData>
    <row r="1" ht="30.0" customHeight="1">
      <c r="A1" s="1" t="s">
        <v>65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66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19.5" customHeight="1">
      <c r="A4" s="5" t="s">
        <v>67</v>
      </c>
      <c r="B4" s="2"/>
      <c r="C4" s="2"/>
      <c r="D4" s="2"/>
      <c r="E4" s="2"/>
      <c r="F4" s="2"/>
      <c r="G4" s="2"/>
      <c r="H4" s="2"/>
      <c r="I4" s="3"/>
    </row>
    <row r="5" ht="21.75" customHeight="1">
      <c r="B5" s="17" t="s">
        <v>55</v>
      </c>
      <c r="C5" s="17" t="s">
        <v>68</v>
      </c>
      <c r="D5" s="17" t="s">
        <v>16</v>
      </c>
      <c r="E5" s="17" t="s">
        <v>38</v>
      </c>
      <c r="F5" s="17" t="s">
        <v>39</v>
      </c>
      <c r="G5" s="17" t="s">
        <v>40</v>
      </c>
      <c r="H5" s="17" t="s">
        <v>69</v>
      </c>
      <c r="I5" s="17" t="s">
        <v>70</v>
      </c>
    </row>
    <row r="6" ht="19.5" customHeight="1">
      <c r="A6" s="36"/>
      <c r="B6" s="55" t="s">
        <v>59</v>
      </c>
      <c r="C6" s="50" t="s">
        <v>71</v>
      </c>
      <c r="D6" s="56">
        <f>IFERROR('2026'!D9,0)</f>
        <v>177000</v>
      </c>
      <c r="E6" s="20">
        <f>IFERROR('2026'!D10,0)</f>
        <v>307803</v>
      </c>
      <c r="F6" s="39">
        <f>IFERROR('2026'!D11,0)</f>
        <v>247803</v>
      </c>
      <c r="G6" s="20">
        <f>IFERROR('2026'!D12,0)</f>
        <v>60000</v>
      </c>
      <c r="H6" s="56">
        <f>IFERROR('2026'!D14,0)</f>
        <v>147622</v>
      </c>
      <c r="I6" s="20">
        <f>IFERROR('2026'!D15,0)</f>
        <v>29378</v>
      </c>
    </row>
    <row r="7" ht="19.5" customHeight="1">
      <c r="A7" s="37"/>
      <c r="B7" s="57" t="s">
        <v>63</v>
      </c>
      <c r="C7" s="54" t="s">
        <v>72</v>
      </c>
      <c r="D7" s="58">
        <f>IFERROR('2027'!D9,0)</f>
        <v>0</v>
      </c>
      <c r="E7" s="23">
        <f>IFERROR('2027'!D10,0)</f>
        <v>0</v>
      </c>
      <c r="F7" s="40">
        <f>IFERROR('2027'!D11,0)</f>
        <v>0</v>
      </c>
      <c r="G7" s="23">
        <f>IFERROR('2027'!D12,0)</f>
        <v>0</v>
      </c>
      <c r="H7" s="58">
        <f>IFERROR('2027'!D14,0)</f>
        <v>0</v>
      </c>
      <c r="I7" s="23">
        <f>IFERROR('2027'!D15,0)</f>
        <v>0</v>
      </c>
    </row>
    <row r="8" ht="21.75" customHeight="1">
      <c r="A8" s="33" t="s">
        <v>73</v>
      </c>
      <c r="B8" s="2"/>
      <c r="C8" s="3"/>
      <c r="D8" s="34">
        <f t="shared" ref="D8:I8" si="1">SUM(D6:D7)</f>
        <v>177000</v>
      </c>
      <c r="E8" s="34">
        <f t="shared" si="1"/>
        <v>307803</v>
      </c>
      <c r="F8" s="34">
        <f t="shared" si="1"/>
        <v>247803</v>
      </c>
      <c r="G8" s="34">
        <f t="shared" si="1"/>
        <v>60000</v>
      </c>
      <c r="H8" s="34">
        <f t="shared" si="1"/>
        <v>147622</v>
      </c>
      <c r="I8" s="34">
        <f t="shared" si="1"/>
        <v>29378</v>
      </c>
    </row>
    <row r="9" ht="6.0" customHeight="1"/>
    <row r="10" ht="19.5" customHeight="1">
      <c r="A10" s="5" t="s">
        <v>74</v>
      </c>
      <c r="B10" s="2"/>
      <c r="C10" s="2"/>
      <c r="D10" s="2"/>
      <c r="E10" s="2"/>
      <c r="F10" s="2"/>
      <c r="G10" s="2"/>
      <c r="H10" s="2"/>
      <c r="I10" s="3"/>
    </row>
    <row r="11" ht="18.0" customHeight="1">
      <c r="A11" s="17" t="s">
        <v>30</v>
      </c>
      <c r="B11" s="17" t="s">
        <v>59</v>
      </c>
      <c r="C11" s="17" t="s">
        <v>63</v>
      </c>
    </row>
    <row r="12" ht="18.0" customHeight="1">
      <c r="A12" s="59" t="s">
        <v>32</v>
      </c>
      <c r="B12" s="20">
        <f>IFERROR('2026'!D33,0)</f>
        <v>70852</v>
      </c>
      <c r="C12" s="20">
        <f>IFERROR('2027'!D33,0)</f>
        <v>0</v>
      </c>
    </row>
    <row r="13" ht="18.0" customHeight="1">
      <c r="A13" s="60" t="s">
        <v>33</v>
      </c>
      <c r="B13" s="23">
        <f>IFERROR('2026'!D34,0)</f>
        <v>76770</v>
      </c>
      <c r="C13" s="23">
        <f>IFERROR('2027'!D34,0)</f>
        <v>0</v>
      </c>
    </row>
    <row r="14" ht="18.0" customHeight="1">
      <c r="A14" s="59" t="s">
        <v>34</v>
      </c>
      <c r="B14" s="20">
        <f>IFERROR('2026'!D35,0)</f>
        <v>0</v>
      </c>
      <c r="C14" s="20">
        <f>IFERROR('2027'!D35,0)</f>
        <v>0</v>
      </c>
    </row>
    <row r="15" ht="18.0" customHeight="1">
      <c r="A15" s="60" t="s">
        <v>35</v>
      </c>
      <c r="B15" s="23">
        <f>IFERROR('2026'!D36,0)</f>
        <v>0</v>
      </c>
      <c r="C15" s="23">
        <f>IFERROR('2027'!D36,0)</f>
        <v>0</v>
      </c>
    </row>
    <row r="16" ht="19.5" customHeight="1">
      <c r="A16" s="61" t="s">
        <v>75</v>
      </c>
      <c r="B16" s="34">
        <f t="shared" ref="B16:C16" si="2">SUM(B12:B15)</f>
        <v>147622</v>
      </c>
      <c r="C16" s="34">
        <f t="shared" si="2"/>
        <v>0</v>
      </c>
    </row>
    <row r="17" ht="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4:I4"/>
    <mergeCell ref="A8:C8"/>
    <mergeCell ref="A10:I1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3" width="18.0"/>
    <col customWidth="1" min="4" max="4" width="28.0"/>
    <col customWidth="1" min="5" max="6" width="16.0"/>
    <col customWidth="1" min="7" max="7" width="14.0"/>
    <col customWidth="1" min="8" max="8" width="16.0"/>
    <col customWidth="1" min="9" max="9" width="22.0"/>
    <col customWidth="1" min="10" max="10" width="16.0"/>
    <col customWidth="1" min="11" max="11" width="22.0"/>
    <col customWidth="1" min="12" max="12" width="14.0"/>
    <col customWidth="1" min="13" max="13" width="22.0"/>
    <col customWidth="1" min="14" max="14" width="16.0"/>
    <col customWidth="1" min="15" max="26" width="8.71"/>
  </cols>
  <sheetData>
    <row r="1" ht="30.0" customHeight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62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6.0" customHeight="1"/>
    <row r="4" ht="19.5" customHeight="1">
      <c r="A4" s="5" t="s">
        <v>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8.0" customHeight="1">
      <c r="A5" s="17" t="s">
        <v>14</v>
      </c>
      <c r="B5" s="18" t="s">
        <v>79</v>
      </c>
      <c r="C5" s="3"/>
      <c r="D5" s="17" t="s">
        <v>80</v>
      </c>
      <c r="E5" s="18" t="s">
        <v>81</v>
      </c>
      <c r="F5" s="2"/>
      <c r="G5" s="2"/>
      <c r="H5" s="2"/>
      <c r="I5" s="2"/>
      <c r="J5" s="2"/>
      <c r="K5" s="2"/>
      <c r="L5" s="2"/>
      <c r="M5" s="2"/>
      <c r="N5" s="3"/>
    </row>
    <row r="6" ht="18.0" customHeight="1">
      <c r="A6" s="63">
        <v>1.0</v>
      </c>
      <c r="B6" s="64"/>
      <c r="C6" s="3"/>
      <c r="D6" s="65"/>
      <c r="E6" s="64"/>
      <c r="F6" s="2"/>
      <c r="G6" s="2"/>
      <c r="H6" s="2"/>
      <c r="I6" s="2"/>
      <c r="J6" s="2"/>
      <c r="K6" s="2"/>
      <c r="L6" s="2"/>
      <c r="M6" s="2"/>
      <c r="N6" s="3"/>
    </row>
    <row r="7" ht="6.0" customHeight="1"/>
    <row r="8" ht="19.5" customHeight="1">
      <c r="A8" s="5" t="s">
        <v>82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 ht="19.5" customHeight="1">
      <c r="A9" s="10" t="s">
        <v>83</v>
      </c>
      <c r="B9" s="2"/>
      <c r="C9" s="3"/>
      <c r="D9" s="66">
        <f>SUM(D20:D28)</f>
        <v>177000</v>
      </c>
      <c r="E9" s="2"/>
      <c r="F9" s="2"/>
      <c r="G9" s="2"/>
      <c r="H9" s="2"/>
      <c r="I9" s="2"/>
      <c r="J9" s="2"/>
      <c r="K9" s="2"/>
      <c r="L9" s="2"/>
      <c r="M9" s="2"/>
      <c r="N9" s="3"/>
    </row>
    <row r="10" ht="19.5" customHeight="1">
      <c r="A10" s="12" t="s">
        <v>84</v>
      </c>
      <c r="B10" s="2"/>
      <c r="C10" s="3"/>
      <c r="D10" s="67">
        <f>IFERROR(__xludf.DUMMYFUNCTION("IFERROR(INDEX(QUERY(IMPORTRANGE(""12PgU-zwv8gBrFfxvJpoPIPcxUHWup-vsxMH3HWUigZ8"",""💰 Donations!A4:D200""),""SELECT SUM(Col3) WHERE Col1 LIKE '2026/D/%' LABEL SUM(Col3) ''""),1),0)"),307803.0)</f>
        <v>307803</v>
      </c>
      <c r="E10" s="2"/>
      <c r="F10" s="2"/>
      <c r="G10" s="2"/>
      <c r="H10" s="2"/>
      <c r="I10" s="2"/>
      <c r="J10" s="2"/>
      <c r="K10" s="2"/>
      <c r="L10" s="2"/>
      <c r="M10" s="2"/>
      <c r="N10" s="3"/>
    </row>
    <row r="11" ht="19.5" customHeight="1">
      <c r="A11" s="10" t="s">
        <v>85</v>
      </c>
      <c r="B11" s="2"/>
      <c r="C11" s="3"/>
      <c r="D11" s="68">
        <f>IFERROR(__xludf.DUMMYFUNCTION("IFERROR(INDEX(QUERY(IMPORTRANGE(""12PgU-zwv8gBrFfxvJpoPIPcxUHWup-vsxMH3HWUigZ8"",""💰 Donations!A4:D200""),""SELECT SUM(Col4) WHERE Col1 LIKE '2026/D/%' LABEL SUM(Col4) ''""),1),0)"),247803.0)</f>
        <v>247803</v>
      </c>
      <c r="E11" s="2"/>
      <c r="F11" s="2"/>
      <c r="G11" s="2"/>
      <c r="H11" s="2"/>
      <c r="I11" s="2"/>
      <c r="J11" s="2"/>
      <c r="K11" s="2"/>
      <c r="L11" s="2"/>
      <c r="M11" s="2"/>
      <c r="N11" s="3"/>
    </row>
    <row r="12" ht="19.5" customHeight="1">
      <c r="A12" s="12" t="s">
        <v>86</v>
      </c>
      <c r="B12" s="2"/>
      <c r="C12" s="3"/>
      <c r="D12" s="67">
        <f>D10-D11</f>
        <v>60000</v>
      </c>
      <c r="E12" s="2"/>
      <c r="F12" s="2"/>
      <c r="G12" s="2"/>
      <c r="H12" s="2"/>
      <c r="I12" s="2"/>
      <c r="J12" s="2"/>
      <c r="K12" s="2"/>
      <c r="L12" s="2"/>
      <c r="M12" s="2"/>
      <c r="N12" s="3"/>
    </row>
    <row r="13" ht="19.5" customHeight="1">
      <c r="A13" s="10" t="s">
        <v>87</v>
      </c>
      <c r="B13" s="2"/>
      <c r="C13" s="3"/>
      <c r="D13" s="69">
        <f>IFERROR(__xludf.DUMMYFUNCTION("IFERROR(INDEX(QUERY(IMPORTRANGE(""12PgU-zwv8gBrFfxvJpoPIPcxUHWup-vsxMH3HWUigZ8"",""🌿 In-Kind!A4:E200""),""SELECT SUM(Col5) WHERE Col1 LIKE '2026/IK/%' LABEL SUM(Col5) ''""),1),0)"),8400.0)</f>
        <v>8400</v>
      </c>
      <c r="E13" s="2"/>
      <c r="F13" s="2"/>
      <c r="G13" s="2"/>
      <c r="H13" s="2"/>
      <c r="I13" s="2"/>
      <c r="J13" s="2"/>
      <c r="K13" s="2"/>
      <c r="L13" s="2"/>
      <c r="M13" s="2"/>
      <c r="N13" s="3"/>
    </row>
    <row r="14" ht="19.5" customHeight="1">
      <c r="A14" s="12" t="s">
        <v>88</v>
      </c>
      <c r="B14" s="2"/>
      <c r="C14" s="3"/>
      <c r="D14" s="66">
        <f>IFERROR(__xludf.DUMMYFUNCTION("IFERROR(INDEX(QUERY(IMPORTRANGE(""12PgU-zwv8gBrFfxvJpoPIPcxUHWup-vsxMH3HWUigZ8"",""💸 Expenses!A5:F200""),""SELECT SUM(Col6) WHERE Col1 LIKE '2026/EX/%' LABEL SUM(Col6) ''""),1),0)"),147622.0)</f>
        <v>147622</v>
      </c>
      <c r="E14" s="2"/>
      <c r="F14" s="2"/>
      <c r="G14" s="2"/>
      <c r="H14" s="2"/>
      <c r="I14" s="2"/>
      <c r="J14" s="2"/>
      <c r="K14" s="2"/>
      <c r="L14" s="2"/>
      <c r="M14" s="2"/>
      <c r="N14" s="3"/>
    </row>
    <row r="15" ht="19.5" customHeight="1">
      <c r="A15" s="10" t="s">
        <v>89</v>
      </c>
      <c r="B15" s="2"/>
      <c r="C15" s="3"/>
      <c r="D15" s="66">
        <f>D9-D14</f>
        <v>29378</v>
      </c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19.5" customHeight="1">
      <c r="A16" s="12" t="s">
        <v>90</v>
      </c>
      <c r="B16" s="2"/>
      <c r="C16" s="3"/>
      <c r="D16" s="70">
        <f>IFERROR(__xludf.DUMMYFUNCTION("IFERROR(INDEX(QUERY(IMPORTRANGE(""12PgU-zwv8gBrFfxvJpoPIPcxUHWup-vsxMH3HWUigZ8"",""💰 Donations!A4:D200""),""SELECT COUNT(Col1) WHERE Col1 LIKE '2026/D/%' LABEL COUNT(Col1) ''""),1),0)"),47.0)</f>
        <v>47</v>
      </c>
      <c r="E16" s="2"/>
      <c r="F16" s="2"/>
      <c r="G16" s="2"/>
      <c r="H16" s="2"/>
      <c r="I16" s="2"/>
      <c r="J16" s="2"/>
      <c r="K16" s="2"/>
      <c r="L16" s="2"/>
      <c r="M16" s="2"/>
      <c r="N16" s="3"/>
    </row>
    <row r="17" ht="6.0" customHeight="1"/>
    <row r="18" ht="19.5" customHeight="1">
      <c r="A18" s="5" t="s">
        <v>91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ht="18.0" customHeight="1">
      <c r="A19" s="17" t="s">
        <v>14</v>
      </c>
      <c r="B19" s="17" t="s">
        <v>15</v>
      </c>
      <c r="C19" s="17" t="s">
        <v>92</v>
      </c>
      <c r="D19" s="17" t="s">
        <v>16</v>
      </c>
      <c r="E19" s="17" t="s">
        <v>17</v>
      </c>
      <c r="F19" s="17" t="s">
        <v>18</v>
      </c>
    </row>
    <row r="20" ht="18.0" customHeight="1">
      <c r="A20" s="19">
        <v>1.0</v>
      </c>
      <c r="B20" s="71" t="s">
        <v>19</v>
      </c>
      <c r="C20" s="72" t="s">
        <v>32</v>
      </c>
      <c r="D20" s="20">
        <f>IFERROR(__xludf.DUMMYFUNCTION("IFERROR(INDEX(QUERY(IMPORTRANGE(""12PgU-zwv8gBrFfxvJpoPIPcxUHWup-vsxMH3HWUigZ8"",""💰 Budget!C5:E200""),""SELECT SUM(Col3) WHERE Col1='Puja &amp; Rituals' LABEL SUM(Col3) ''""),1),0)"),52000.0)</f>
        <v>52000</v>
      </c>
      <c r="E20" s="20">
        <f>IFERROR(__xludf.DUMMYFUNCTION("IFERROR(INDEX(QUERY(IMPORTRANGE(""12PgU-zwv8gBrFfxvJpoPIPcxUHWup-vsxMH3HWUigZ8"",""💸 Expenses!E5:F200""),""SELECT SUM(Col2) WHERE Col1='Puja &amp; Rituals' LABEL SUM(Col2) ''""),1),0)"),16502.0)</f>
        <v>16502</v>
      </c>
      <c r="F20" s="21">
        <f t="shared" ref="F20:F29" si="1">D20-E20</f>
        <v>35498</v>
      </c>
      <c r="G20" s="36"/>
      <c r="H20" s="36"/>
      <c r="I20" s="36"/>
      <c r="J20" s="36"/>
      <c r="K20" s="36"/>
      <c r="L20" s="36"/>
      <c r="M20" s="36"/>
      <c r="N20" s="36"/>
    </row>
    <row r="21" ht="18.0" customHeight="1">
      <c r="A21" s="22">
        <v>2.0</v>
      </c>
      <c r="B21" s="73" t="s">
        <v>20</v>
      </c>
      <c r="C21" s="74" t="s">
        <v>32</v>
      </c>
      <c r="D21" s="23">
        <f>IFERROR(__xludf.DUMMYFUNCTION("IFERROR(INDEX(QUERY(IMPORTRANGE(""12PgU-zwv8gBrFfxvJpoPIPcxUHWup-vsxMH3HWUigZ8"",""💰 Budget!C5:E200""),""SELECT SUM(Col3) WHERE Col1='Decorations &amp; Flowers' LABEL SUM(Col3) ''""),1),0)"),32500.0)</f>
        <v>32500</v>
      </c>
      <c r="E21" s="23">
        <f>IFERROR(__xludf.DUMMYFUNCTION("IFERROR(INDEX(QUERY(IMPORTRANGE(""12PgU-zwv8gBrFfxvJpoPIPcxUHWup-vsxMH3HWUigZ8"",""💸 Expenses!E5:F200""),""SELECT SUM(Col2) WHERE Col1='Decorations &amp; Flowers' LABEL SUM(Col2) ''""),1),0)"),7002.0)</f>
        <v>7002</v>
      </c>
      <c r="F21" s="24">
        <f t="shared" si="1"/>
        <v>25498</v>
      </c>
      <c r="G21" s="37"/>
      <c r="H21" s="37"/>
      <c r="I21" s="37"/>
      <c r="J21" s="37"/>
      <c r="K21" s="37"/>
      <c r="L21" s="37"/>
      <c r="M21" s="37"/>
      <c r="N21" s="37"/>
    </row>
    <row r="22" ht="18.0" customHeight="1">
      <c r="A22" s="19">
        <v>3.0</v>
      </c>
      <c r="B22" s="71" t="s">
        <v>21</v>
      </c>
      <c r="C22" s="72" t="s">
        <v>32</v>
      </c>
      <c r="D22" s="20">
        <f>IFERROR(__xludf.DUMMYFUNCTION("IFERROR(INDEX(QUERY(IMPORTRANGE(""12PgU-zwv8gBrFfxvJpoPIPcxUHWup-vsxMH3HWUigZ8"",""💰 Budget!C5:E200""),""SELECT SUM(Col3) WHERE Col1='Food &amp; Catering' LABEL SUM(Col3) ''""),1),0)"),45000.0)</f>
        <v>45000</v>
      </c>
      <c r="E22" s="20">
        <f>IFERROR(__xludf.DUMMYFUNCTION("IFERROR(INDEX(QUERY(IMPORTRANGE(""12PgU-zwv8gBrFfxvJpoPIPcxUHWup-vsxMH3HWUigZ8"",""💸 Expenses!E5:F200""),""SELECT SUM(Col2) WHERE Col1='Food &amp; Catering' LABEL SUM(Col2) ''""),1),0)"),40000.0)</f>
        <v>40000</v>
      </c>
      <c r="F22" s="21">
        <f t="shared" si="1"/>
        <v>5000</v>
      </c>
      <c r="G22" s="36"/>
      <c r="H22" s="36"/>
      <c r="I22" s="36"/>
      <c r="J22" s="36"/>
      <c r="K22" s="36"/>
      <c r="L22" s="36"/>
      <c r="M22" s="36"/>
      <c r="N22" s="36"/>
    </row>
    <row r="23" ht="18.0" customHeight="1">
      <c r="A23" s="22">
        <v>4.0</v>
      </c>
      <c r="B23" s="73" t="s">
        <v>22</v>
      </c>
      <c r="C23" s="74" t="s">
        <v>32</v>
      </c>
      <c r="D23" s="23">
        <f>IFERROR(__xludf.DUMMYFUNCTION("IFERROR(INDEX(QUERY(IMPORTRANGE(""12PgU-zwv8gBrFfxvJpoPIPcxUHWup-vsxMH3HWUigZ8"",""💰 Budget!C5:E200""),""SELECT SUM(Col3) WHERE Col1='Infrastructure &amp; Logistics' LABEL SUM(Col3) ''""),1),0)"),28500.0)</f>
        <v>28500</v>
      </c>
      <c r="E23" s="23">
        <f>IFERROR(__xludf.DUMMYFUNCTION("IFERROR(INDEX(QUERY(IMPORTRANGE(""12PgU-zwv8gBrFfxvJpoPIPcxUHWup-vsxMH3HWUigZ8"",""💸 Expenses!E5:F200""),""SELECT SUM(Col2) WHERE Col1='Infrastructure &amp; Logistics' LABEL SUM(Col2) ''""),1),0)"),4787.0)</f>
        <v>4787</v>
      </c>
      <c r="F23" s="24">
        <f t="shared" si="1"/>
        <v>23713</v>
      </c>
      <c r="G23" s="37"/>
      <c r="H23" s="37"/>
      <c r="I23" s="37"/>
      <c r="J23" s="37"/>
      <c r="K23" s="37"/>
      <c r="L23" s="37"/>
      <c r="M23" s="37"/>
      <c r="N23" s="37"/>
    </row>
    <row r="24" ht="18.0" customHeight="1">
      <c r="A24" s="19">
        <v>5.0</v>
      </c>
      <c r="B24" s="71" t="s">
        <v>23</v>
      </c>
      <c r="C24" s="72" t="s">
        <v>32</v>
      </c>
      <c r="D24" s="20">
        <f>IFERROR(__xludf.DUMMYFUNCTION("IFERROR(INDEX(QUERY(IMPORTRANGE(""12PgU-zwv8gBrFfxvJpoPIPcxUHWup-vsxMH3HWUigZ8"",""💰 Budget!C5:E200""),""SELECT SUM(Col3) WHERE Col1='Miscellaneous' LABEL SUM(Col3) ''""),1),0)"),19000.0)</f>
        <v>19000</v>
      </c>
      <c r="E24" s="20">
        <f>IFERROR(__xludf.DUMMYFUNCTION("IFERROR(INDEX(QUERY(IMPORTRANGE(""12PgU-zwv8gBrFfxvJpoPIPcxUHWup-vsxMH3HWUigZ8"",""💸 Expenses!E5:F200""),""SELECT SUM(Col2) WHERE Col1='Miscellaneous' LABEL SUM(Col2) ''""),1),0)"),2961.0)</f>
        <v>2961</v>
      </c>
      <c r="F24" s="21">
        <f t="shared" si="1"/>
        <v>16039</v>
      </c>
      <c r="G24" s="36"/>
      <c r="H24" s="36"/>
      <c r="I24" s="36"/>
      <c r="J24" s="36"/>
      <c r="K24" s="36"/>
      <c r="L24" s="36"/>
      <c r="M24" s="36"/>
      <c r="N24" s="36"/>
    </row>
    <row r="25" ht="18.0" customHeight="1">
      <c r="A25" s="25">
        <v>6.0</v>
      </c>
      <c r="B25" s="75" t="s">
        <v>93</v>
      </c>
      <c r="C25" s="76" t="s">
        <v>33</v>
      </c>
      <c r="D25" s="27">
        <f>IFERROR(__xludf.DUMMYFUNCTION("IFERROR(INDEX(QUERY(IMPORTRANGE(""12PgU-zwv8gBrFfxvJpoPIPcxUHWup-vsxMH3HWUigZ8"",""💰 Budget!C5:E200""),""SELECT SUM(Col3) WHERE Col1='Materials' LABEL SUM(Col3) ''""),1),0)"),0.0)</f>
        <v>0</v>
      </c>
      <c r="E25" s="27">
        <f>IFERROR(__xludf.DUMMYFUNCTION("IFERROR(INDEX(QUERY(IMPORTRANGE(""12PgU-zwv8gBrFfxvJpoPIPcxUHWup-vsxMH3HWUigZ8"",""💸 Expenses!E5:F200""),""SELECT SUM(Col2) WHERE Col1='Materials' LABEL SUM(Col2) ''""),1),0)"),63850.0)</f>
        <v>63850</v>
      </c>
      <c r="F25" s="28">
        <f t="shared" si="1"/>
        <v>-63850</v>
      </c>
      <c r="G25" s="77"/>
      <c r="H25" s="77"/>
      <c r="I25" s="77"/>
      <c r="J25" s="77"/>
      <c r="K25" s="77"/>
      <c r="L25" s="77"/>
      <c r="M25" s="77"/>
      <c r="N25" s="77"/>
    </row>
    <row r="26" ht="18.0" customHeight="1">
      <c r="A26" s="29">
        <v>7.0</v>
      </c>
      <c r="B26" s="78" t="s">
        <v>94</v>
      </c>
      <c r="C26" s="79" t="s">
        <v>33</v>
      </c>
      <c r="D26" s="31">
        <f>IFERROR(__xludf.DUMMYFUNCTION("IFERROR(INDEX(QUERY(IMPORTRANGE(""12PgU-zwv8gBrFfxvJpoPIPcxUHWup-vsxMH3HWUigZ8"",""💰 Budget!C5:E200""),""SELECT SUM(Col3) WHERE Col1='Labour' LABEL SUM(Col3) ''""),1),0)"),0.0)</f>
        <v>0</v>
      </c>
      <c r="E26" s="31">
        <f>IFERROR(__xludf.DUMMYFUNCTION("IFERROR(INDEX(QUERY(IMPORTRANGE(""12PgU-zwv8gBrFfxvJpoPIPcxUHWup-vsxMH3HWUigZ8"",""💸 Expenses!E5:F200""),""SELECT SUM(Col2) WHERE Col1='Labour' LABEL SUM(Col2) ''""),1),0)"),10000.0)</f>
        <v>10000</v>
      </c>
      <c r="F26" s="32">
        <f t="shared" si="1"/>
        <v>-10000</v>
      </c>
      <c r="G26" s="80"/>
      <c r="H26" s="80"/>
      <c r="I26" s="80"/>
      <c r="J26" s="80"/>
      <c r="K26" s="80"/>
      <c r="L26" s="80"/>
      <c r="M26" s="80"/>
      <c r="N26" s="80"/>
    </row>
    <row r="27" ht="18.0" customHeight="1">
      <c r="A27" s="25">
        <v>8.0</v>
      </c>
      <c r="B27" s="75" t="s">
        <v>95</v>
      </c>
      <c r="C27" s="76" t="s">
        <v>33</v>
      </c>
      <c r="D27" s="27">
        <f>IFERROR(__xludf.DUMMYFUNCTION("IFERROR(INDEX(QUERY(IMPORTRANGE(""12PgU-zwv8gBrFfxvJpoPIPcxUHWup-vsxMH3HWUigZ8"",""💰 Budget!C5:E200""),""SELECT SUM(Col3) WHERE Col1='Transport' LABEL SUM(Col3) ''""),1),0)"),0.0)</f>
        <v>0</v>
      </c>
      <c r="E27" s="27">
        <f>IFERROR(__xludf.DUMMYFUNCTION("IFERROR(INDEX(QUERY(IMPORTRANGE(""12PgU-zwv8gBrFfxvJpoPIPcxUHWup-vsxMH3HWUigZ8"",""💸 Expenses!E5:F200""),""SELECT SUM(Col2) WHERE Col1='Transport' LABEL SUM(Col2) ''""),1),0)"),1600.0)</f>
        <v>1600</v>
      </c>
      <c r="F27" s="28">
        <f t="shared" si="1"/>
        <v>-1600</v>
      </c>
      <c r="G27" s="77"/>
      <c r="H27" s="77"/>
      <c r="I27" s="77"/>
      <c r="J27" s="77"/>
      <c r="K27" s="77"/>
      <c r="L27" s="77"/>
      <c r="M27" s="77"/>
      <c r="N27" s="77"/>
    </row>
    <row r="28" ht="18.0" customHeight="1">
      <c r="A28" s="29">
        <v>9.0</v>
      </c>
      <c r="B28" s="78" t="s">
        <v>96</v>
      </c>
      <c r="C28" s="79" t="s">
        <v>33</v>
      </c>
      <c r="D28" s="31">
        <f>IFERROR(__xludf.DUMMYFUNCTION("IFERROR(INDEX(QUERY(IMPORTRANGE(""12PgU-zwv8gBrFfxvJpoPIPcxUHWup-vsxMH3HWUigZ8"",""💰 Budget!C5:E200""),""SELECT SUM(Col3) WHERE Col1='Food' LABEL SUM(Col3) ''""),1),0)"),0.0)</f>
        <v>0</v>
      </c>
      <c r="E28" s="31">
        <f>IFERROR(__xludf.DUMMYFUNCTION("IFERROR(INDEX(QUERY(IMPORTRANGE(""12PgU-zwv8gBrFfxvJpoPIPcxUHWup-vsxMH3HWUigZ8"",""💸 Expenses!E5:F200""),""SELECT SUM(Col2) WHERE Col1='Food' LABEL SUM(Col2) ''""),1),0)"),920.0)</f>
        <v>920</v>
      </c>
      <c r="F28" s="32">
        <f t="shared" si="1"/>
        <v>-920</v>
      </c>
      <c r="G28" s="80"/>
      <c r="H28" s="80"/>
      <c r="I28" s="80"/>
      <c r="J28" s="80"/>
      <c r="K28" s="80"/>
      <c r="L28" s="80"/>
      <c r="M28" s="80"/>
      <c r="N28" s="80"/>
    </row>
    <row r="29" ht="19.5" customHeight="1">
      <c r="A29" s="33" t="s">
        <v>97</v>
      </c>
      <c r="B29" s="2"/>
      <c r="C29" s="3"/>
      <c r="D29" s="34">
        <f t="shared" ref="D29:E29" si="2">SUM(D20:D28)</f>
        <v>177000</v>
      </c>
      <c r="E29" s="34">
        <f t="shared" si="2"/>
        <v>147622</v>
      </c>
      <c r="F29" s="34">
        <f t="shared" si="1"/>
        <v>29378</v>
      </c>
      <c r="G29" s="38"/>
      <c r="H29" s="38"/>
      <c r="I29" s="38"/>
      <c r="J29" s="38"/>
      <c r="K29" s="38"/>
      <c r="L29" s="38"/>
      <c r="M29" s="38"/>
      <c r="N29" s="38"/>
    </row>
    <row r="30" ht="3.0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</row>
    <row r="31" ht="19.5" customHeight="1">
      <c r="A31" s="35" t="s">
        <v>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</row>
    <row r="32" ht="18.0" customHeight="1">
      <c r="A32" s="17" t="s">
        <v>14</v>
      </c>
      <c r="B32" s="18" t="s">
        <v>30</v>
      </c>
      <c r="C32" s="3"/>
      <c r="D32" s="17" t="s">
        <v>31</v>
      </c>
    </row>
    <row r="33" ht="18.0" customHeight="1">
      <c r="A33" s="19">
        <v>1.0</v>
      </c>
      <c r="B33" s="10" t="s">
        <v>32</v>
      </c>
      <c r="C33" s="3"/>
      <c r="D33" s="20">
        <f>IFERROR(__xludf.DUMMYFUNCTION("IFERROR(INDEX(QUERY(IMPORTRANGE(""12PgU-zwv8gBrFfxvJpoPIPcxUHWup-vsxMH3HWUigZ8"",""💸 Expenses!F5:J200""),""SELECT SUM(Col1) WHERE Col5='Aadi Festival' LABEL SUM(Col1) ''""),1),0)"),70852.0)</f>
        <v>70852</v>
      </c>
      <c r="E33" s="36"/>
      <c r="F33" s="36"/>
      <c r="G33" s="36"/>
      <c r="H33" s="36"/>
    </row>
    <row r="34" ht="18.0" customHeight="1">
      <c r="A34" s="22">
        <v>2.0</v>
      </c>
      <c r="B34" s="12" t="s">
        <v>33</v>
      </c>
      <c r="C34" s="3"/>
      <c r="D34" s="23">
        <f>IFERROR(__xludf.DUMMYFUNCTION("IFERROR(INDEX(QUERY(IMPORTRANGE(""12PgU-zwv8gBrFfxvJpoPIPcxUHWup-vsxMH3HWUigZ8"",""💸 Expenses!F5:J200""),""SELECT SUM(Col1) WHERE Col5='Temple Development' LABEL SUM(Col1) ''""),1),0)"),76770.0)</f>
        <v>76770</v>
      </c>
      <c r="E34" s="37"/>
      <c r="F34" s="37"/>
      <c r="G34" s="37"/>
      <c r="H34" s="37"/>
    </row>
    <row r="35" ht="18.0" customHeight="1">
      <c r="A35" s="19">
        <v>3.0</v>
      </c>
      <c r="B35" s="10" t="s">
        <v>34</v>
      </c>
      <c r="C35" s="3"/>
      <c r="D35" s="20">
        <f>IFERROR(__xludf.DUMMYFUNCTION("IFERROR(INDEX(QUERY(IMPORTRANGE(""12PgU-zwv8gBrFfxvJpoPIPcxUHWup-vsxMH3HWUigZ8"",""💸 Expenses!F5:J200""),""SELECT SUM(Col1) WHERE Col5='Temple Operations' LABEL SUM(Col1) ''""),1),0)"),0.0)</f>
        <v>0</v>
      </c>
      <c r="E35" s="36"/>
      <c r="F35" s="36"/>
      <c r="G35" s="36"/>
      <c r="H35" s="36"/>
    </row>
    <row r="36" ht="18.0" customHeight="1">
      <c r="A36" s="22">
        <v>4.0</v>
      </c>
      <c r="B36" s="12" t="s">
        <v>35</v>
      </c>
      <c r="C36" s="3"/>
      <c r="D36" s="23">
        <f>IFERROR(__xludf.DUMMYFUNCTION("IFERROR(INDEX(QUERY(IMPORTRANGE(""12PgU-zwv8gBrFfxvJpoPIPcxUHWup-vsxMH3HWUigZ8"",""💸 Expenses!F5:J200""),""SELECT SUM(Col1) WHERE Col5='Others' LABEL SUM(Col1) ''""),1),0)"),0.0)</f>
        <v>0</v>
      </c>
      <c r="E36" s="37"/>
      <c r="F36" s="37"/>
      <c r="G36" s="37"/>
      <c r="H36" s="37"/>
    </row>
    <row r="37" ht="19.5" customHeight="1">
      <c r="A37" s="33" t="s">
        <v>28</v>
      </c>
      <c r="B37" s="2"/>
      <c r="C37" s="3"/>
      <c r="D37" s="34">
        <f>SUM(D33:D36)</f>
        <v>147622</v>
      </c>
      <c r="E37" s="38"/>
      <c r="F37" s="38"/>
      <c r="G37" s="38"/>
      <c r="H37" s="38"/>
    </row>
    <row r="38" ht="6.0" customHeight="1"/>
    <row r="39" ht="19.5" customHeight="1">
      <c r="A39" s="5" t="s">
        <v>98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</row>
    <row r="40" ht="18.0" customHeight="1">
      <c r="A40" s="17" t="s">
        <v>14</v>
      </c>
      <c r="B40" s="17" t="s">
        <v>80</v>
      </c>
      <c r="C40" s="17" t="s">
        <v>99</v>
      </c>
      <c r="D40" s="17" t="s">
        <v>100</v>
      </c>
      <c r="E40" s="17" t="s">
        <v>15</v>
      </c>
      <c r="F40" s="17" t="s">
        <v>49</v>
      </c>
      <c r="G40" s="17" t="s">
        <v>101</v>
      </c>
      <c r="H40" s="17" t="s">
        <v>102</v>
      </c>
      <c r="I40" s="17" t="s">
        <v>103</v>
      </c>
      <c r="J40" s="17" t="s">
        <v>57</v>
      </c>
    </row>
    <row r="41" ht="18.0" customHeight="1">
      <c r="A41" s="50" t="str">
        <f>IFERROR(__xludf.DUMMYFUNCTION("IFERROR(INDEX(IMPORTRANGE(""12PgU-zwv8gBrFfxvJpoPIPcxUHWup-vsxMH3HWUigZ8"",""💸 Expenses!A5:J200""),1,1),"""")"),"2026/EX/1")</f>
        <v>2026/EX/1</v>
      </c>
      <c r="B41" s="82" t="str">
        <f>IFERROR(__xludf.DUMMYFUNCTION("IFERROR(IF(INDEX(IMPORTRANGE(""12PgU-zwv8gBrFfxvJpoPIPcxUHWup-vsxMH3HWUigZ8"",""💸 Expenses!A5:J200""),1,2)="""","""",TEXT(INDEX(IMPORTRANGE(""12PgU-zwv8gBrFfxvJpoPIPcxUHWup-vsxMH3HWUigZ8"",""💸 Expenses!A5:J200""),1,2),""DD-MM-YYYY"")),"""")"),"25-05-26")</f>
        <v>25-05-26</v>
      </c>
      <c r="C41" s="83" t="str">
        <f>IFERROR(__xludf.DUMMYFUNCTION("IFERROR(INDEX(IMPORTRANGE(""12PgU-zwv8gBrFfxvJpoPIPcxUHWup-vsxMH3HWUigZ8"",""💸 Expenses!A5:J200""),1,3),"""")"),"Thimiri Press")</f>
        <v>Thimiri Press</v>
      </c>
      <c r="D41" s="83" t="str">
        <f>IFERROR(__xludf.DUMMYFUNCTION("IFERROR(INDEX(IMPORTRANGE(""12PgU-zwv8gBrFfxvJpoPIPcxUHWup-vsxMH3HWUigZ8"",""💸 Expenses!A5:J200""),1,4),"""")"),"Card Printing")</f>
        <v>Card Printing</v>
      </c>
      <c r="E41" s="83" t="str">
        <f>IFERROR(__xludf.DUMMYFUNCTION("IFERROR(INDEX(IMPORTRANGE(""12PgU-zwv8gBrFfxvJpoPIPcxUHWup-vsxMH3HWUigZ8"",""💸 Expenses!A5:J200""),1,5),"""")"),"Miscellaneous")</f>
        <v>Miscellaneous</v>
      </c>
      <c r="F41" s="84">
        <f>IFERROR(__xludf.DUMMYFUNCTION("IFERROR(IFERROR(INDEX(IMPORTRANGE(""12PgU-zwv8gBrFfxvJpoPIPcxUHWup-vsxMH3HWUigZ8"",""💸 Expenses!A5:J200""),1,6)*1,0),0)"),500.0)</f>
        <v>500</v>
      </c>
      <c r="G41" s="83" t="str">
        <f>IFERROR(__xludf.DUMMYFUNCTION("IFERROR(INDEX(IMPORTRANGE(""12PgU-zwv8gBrFfxvJpoPIPcxUHWup-vsxMH3HWUigZ8"",""💸 Expenses!A5:J200""),1,7),"""")"),"UPI")</f>
        <v>UPI</v>
      </c>
      <c r="H41" s="83" t="str">
        <f>IFERROR(__xludf.DUMMYFUNCTION("IFERROR(INDEX(IMPORTRANGE(""12PgU-zwv8gBrFfxvJpoPIPcxUHWup-vsxMH3HWUigZ8"",""💸 Expenses!A5:J200""),1,8),"""")"),"Sunil Kumar")</f>
        <v>Sunil Kumar</v>
      </c>
      <c r="I41" s="83" t="str">
        <f>IFERROR(__xludf.DUMMYFUNCTION("IFERROR(INDEX(IMPORTRANGE(""12PgU-zwv8gBrFfxvJpoPIPcxUHWup-vsxMH3HWUigZ8"",""💸 Expenses!A5:J200""),1,9),"""")"),"")</f>
        <v/>
      </c>
      <c r="J41" s="83" t="str">
        <f>IFERROR(__xludf.DUMMYFUNCTION("IFERROR(INDEX(IMPORTRANGE(""12PgU-zwv8gBrFfxvJpoPIPcxUHWup-vsxMH3HWUigZ8"",""💸 Expenses!A5:J200""),1,10),"""")"),"Aadi Festival")</f>
        <v>Aadi Festival</v>
      </c>
      <c r="K41" s="36"/>
      <c r="L41" s="36"/>
      <c r="M41" s="36"/>
      <c r="N41" s="36"/>
    </row>
    <row r="42" ht="18.0" customHeight="1">
      <c r="A42" s="54" t="str">
        <f>IFERROR(__xludf.DUMMYFUNCTION("IFERROR(INDEX(IMPORTRANGE(""12PgU-zwv8gBrFfxvJpoPIPcxUHWup-vsxMH3HWUigZ8"",""💸 Expenses!A5:J200""),2,1),"""")"),"2026/EX/2")</f>
        <v>2026/EX/2</v>
      </c>
      <c r="B42" s="85" t="str">
        <f>IFERROR(__xludf.DUMMYFUNCTION("IFERROR(IF(INDEX(IMPORTRANGE(""12PgU-zwv8gBrFfxvJpoPIPcxUHWup-vsxMH3HWUigZ8"",""💸 Expenses!A5:J200""),2,2)="""","""",TEXT(INDEX(IMPORTRANGE(""12PgU-zwv8gBrFfxvJpoPIPcxUHWup-vsxMH3HWUigZ8"",""💸 Expenses!A5:J200""),2,2),""DD-MM-YYYY"")),"""")"),"25-05-26")</f>
        <v>25-05-26</v>
      </c>
      <c r="C42" s="86" t="str">
        <f>IFERROR(__xludf.DUMMYFUNCTION("IFERROR(INDEX(IMPORTRANGE(""12PgU-zwv8gBrFfxvJpoPIPcxUHWup-vsxMH3HWUigZ8"",""💸 Expenses!A5:J200""),2,3),"""")"),"Vadivelu / Saravana")</f>
        <v>Vadivelu / Saravana</v>
      </c>
      <c r="D42" s="86" t="str">
        <f>IFERROR(__xludf.DUMMYFUNCTION("IFERROR(INDEX(IMPORTRANGE(""12PgU-zwv8gBrFfxvJpoPIPcxUHWup-vsxMH3HWUigZ8"",""💸 Expenses!A5:J200""),2,4),"""")"),"Iyer Booking")</f>
        <v>Iyer Booking</v>
      </c>
      <c r="E42" s="86" t="str">
        <f>IFERROR(__xludf.DUMMYFUNCTION("IFERROR(INDEX(IMPORTRANGE(""12PgU-zwv8gBrFfxvJpoPIPcxUHWup-vsxMH3HWUigZ8"",""💸 Expenses!A5:J200""),2,5),"""")"),"Puja &amp; Rituals")</f>
        <v>Puja &amp; Rituals</v>
      </c>
      <c r="F42" s="87">
        <f>IFERROR(__xludf.DUMMYFUNCTION("IFERROR(IFERROR(INDEX(IMPORTRANGE(""12PgU-zwv8gBrFfxvJpoPIPcxUHWup-vsxMH3HWUigZ8"",""💸 Expenses!A5:J200""),2,6)*1,0),0)"),5000.0)</f>
        <v>5000</v>
      </c>
      <c r="G42" s="86" t="str">
        <f>IFERROR(__xludf.DUMMYFUNCTION("IFERROR(INDEX(IMPORTRANGE(""12PgU-zwv8gBrFfxvJpoPIPcxUHWup-vsxMH3HWUigZ8"",""💸 Expenses!A5:J200""),2,7),"""")"),"UPI")</f>
        <v>UPI</v>
      </c>
      <c r="H42" s="86" t="str">
        <f>IFERROR(__xludf.DUMMYFUNCTION("IFERROR(INDEX(IMPORTRANGE(""12PgU-zwv8gBrFfxvJpoPIPcxUHWup-vsxMH3HWUigZ8"",""💸 Expenses!A5:J200""),2,8),"""")"),"Sunil Kumar")</f>
        <v>Sunil Kumar</v>
      </c>
      <c r="I42" s="86" t="str">
        <f>IFERROR(__xludf.DUMMYFUNCTION("IFERROR(INDEX(IMPORTRANGE(""12PgU-zwv8gBrFfxvJpoPIPcxUHWup-vsxMH3HWUigZ8"",""💸 Expenses!A5:J200""),2,9),"""")"),"")</f>
        <v/>
      </c>
      <c r="J42" s="86" t="str">
        <f>IFERROR(__xludf.DUMMYFUNCTION("IFERROR(INDEX(IMPORTRANGE(""12PgU-zwv8gBrFfxvJpoPIPcxUHWup-vsxMH3HWUigZ8"",""💸 Expenses!A5:J200""),2,10),"""")"),"Aadi Festival")</f>
        <v>Aadi Festival</v>
      </c>
      <c r="K42" s="37"/>
      <c r="L42" s="37"/>
      <c r="M42" s="37"/>
      <c r="N42" s="37"/>
    </row>
    <row r="43" ht="18.0" customHeight="1">
      <c r="A43" s="50" t="str">
        <f>IFERROR(__xludf.DUMMYFUNCTION("IFERROR(INDEX(IMPORTRANGE(""12PgU-zwv8gBrFfxvJpoPIPcxUHWup-vsxMH3HWUigZ8"",""💸 Expenses!A5:J200""),3,1),"""")"),"2026/EX/3")</f>
        <v>2026/EX/3</v>
      </c>
      <c r="B43" s="82" t="str">
        <f>IFERROR(__xludf.DUMMYFUNCTION("IFERROR(IF(INDEX(IMPORTRANGE(""12PgU-zwv8gBrFfxvJpoPIPcxUHWup-vsxMH3HWUigZ8"",""💸 Expenses!A5:J200""),3,2)="""","""",TEXT(INDEX(IMPORTRANGE(""12PgU-zwv8gBrFfxvJpoPIPcxUHWup-vsxMH3HWUigZ8"",""💸 Expenses!A5:J200""),3,2),""DD-MM-YYYY"")),"""")"),"26-05-26")</f>
        <v>26-05-26</v>
      </c>
      <c r="C43" s="83" t="str">
        <f>IFERROR(__xludf.DUMMYFUNCTION("IFERROR(INDEX(IMPORTRANGE(""12PgU-zwv8gBrFfxvJpoPIPcxUHWup-vsxMH3HWUigZ8"",""💸 Expenses!A5:J200""),3,3),"""")"),"Sathish B")</f>
        <v>Sathish B</v>
      </c>
      <c r="D43" s="83" t="str">
        <f>IFERROR(__xludf.DUMMYFUNCTION("IFERROR(INDEX(IMPORTRANGE(""12PgU-zwv8gBrFfxvJpoPIPcxUHWup-vsxMH3HWUigZ8"",""💸 Expenses!A5:J200""),3,4),"""")"),"Vessels &amp; Utensils")</f>
        <v>Vessels &amp; Utensils</v>
      </c>
      <c r="E43" s="83" t="str">
        <f>IFERROR(__xludf.DUMMYFUNCTION("IFERROR(INDEX(IMPORTRANGE(""12PgU-zwv8gBrFfxvJpoPIPcxUHWup-vsxMH3HWUigZ8"",""💸 Expenses!A5:J200""),3,5),"""")"),"Infrastructure &amp; Logistics")</f>
        <v>Infrastructure &amp; Logistics</v>
      </c>
      <c r="F43" s="84">
        <f>IFERROR(__xludf.DUMMYFUNCTION("IFERROR(IFERROR(INDEX(IMPORTRANGE(""12PgU-zwv8gBrFfxvJpoPIPcxUHWup-vsxMH3HWUigZ8"",""💸 Expenses!A5:J200""),3,6)*1,0),0)"),2001.0)</f>
        <v>2001</v>
      </c>
      <c r="G43" s="83" t="str">
        <f>IFERROR(__xludf.DUMMYFUNCTION("IFERROR(INDEX(IMPORTRANGE(""12PgU-zwv8gBrFfxvJpoPIPcxUHWup-vsxMH3HWUigZ8"",""💸 Expenses!A5:J200""),3,7),"""")"),"UPI")</f>
        <v>UPI</v>
      </c>
      <c r="H43" s="83" t="str">
        <f>IFERROR(__xludf.DUMMYFUNCTION("IFERROR(INDEX(IMPORTRANGE(""12PgU-zwv8gBrFfxvJpoPIPcxUHWup-vsxMH3HWUigZ8"",""💸 Expenses!A5:J200""),3,8),"""")"),"Sunil Kumar")</f>
        <v>Sunil Kumar</v>
      </c>
      <c r="I43" s="83" t="str">
        <f>IFERROR(__xludf.DUMMYFUNCTION("IFERROR(INDEX(IMPORTRANGE(""12PgU-zwv8gBrFfxvJpoPIPcxUHWup-vsxMH3HWUigZ8"",""💸 Expenses!A5:J200""),3,9),"""")"),"")</f>
        <v/>
      </c>
      <c r="J43" s="83" t="str">
        <f>IFERROR(__xludf.DUMMYFUNCTION("IFERROR(INDEX(IMPORTRANGE(""12PgU-zwv8gBrFfxvJpoPIPcxUHWup-vsxMH3HWUigZ8"",""💸 Expenses!A5:J200""),3,10),"""")"),"Aadi Festival")</f>
        <v>Aadi Festival</v>
      </c>
      <c r="K43" s="36"/>
      <c r="L43" s="36"/>
      <c r="M43" s="36"/>
      <c r="N43" s="36"/>
    </row>
    <row r="44" ht="18.0" customHeight="1">
      <c r="A44" s="54" t="str">
        <f>IFERROR(__xludf.DUMMYFUNCTION("IFERROR(INDEX(IMPORTRANGE(""12PgU-zwv8gBrFfxvJpoPIPcxUHWup-vsxMH3HWUigZ8"",""💸 Expenses!A5:J200""),4,1),"""")"),"2026/EX/4")</f>
        <v>2026/EX/4</v>
      </c>
      <c r="B44" s="85" t="str">
        <f>IFERROR(__xludf.DUMMYFUNCTION("IFERROR(IF(INDEX(IMPORTRANGE(""12PgU-zwv8gBrFfxvJpoPIPcxUHWup-vsxMH3HWUigZ8"",""💸 Expenses!A5:J200""),4,2)="""","""",TEXT(INDEX(IMPORTRANGE(""12PgU-zwv8gBrFfxvJpoPIPcxUHWup-vsxMH3HWUigZ8"",""💸 Expenses!A5:J200""),4,2),""DD-MM-YYYY"")),"""")"),"26-05-26")</f>
        <v>26-05-26</v>
      </c>
      <c r="C44" s="86" t="str">
        <f>IFERROR(__xludf.DUMMYFUNCTION("IFERROR(INDEX(IMPORTRANGE(""12PgU-zwv8gBrFfxvJpoPIPcxUHWup-vsxMH3HWUigZ8"",""💸 Expenses!A5:J200""),4,3),"""")"),"Karthik")</f>
        <v>Karthik</v>
      </c>
      <c r="D44" s="86" t="str">
        <f>IFERROR(__xludf.DUMMYFUNCTION("IFERROR(INDEX(IMPORTRANGE(""12PgU-zwv8gBrFfxvJpoPIPcxUHWup-vsxMH3HWUigZ8"",""💸 Expenses!A5:J200""),4,4),"""")"),"Electrical Lighting &amp; Generator Mic &amp; Sound system")</f>
        <v>Electrical Lighting &amp; Generator Mic &amp; Sound system</v>
      </c>
      <c r="E44" s="86" t="str">
        <f>IFERROR(__xludf.DUMMYFUNCTION("IFERROR(INDEX(IMPORTRANGE(""12PgU-zwv8gBrFfxvJpoPIPcxUHWup-vsxMH3HWUigZ8"",""💸 Expenses!A5:J200""),4,5),"""")"),"Infrastructure &amp; Logistics")</f>
        <v>Infrastructure &amp; Logistics</v>
      </c>
      <c r="F44" s="87">
        <f>IFERROR(__xludf.DUMMYFUNCTION("IFERROR(IFERROR(INDEX(IMPORTRANGE(""12PgU-zwv8gBrFfxvJpoPIPcxUHWup-vsxMH3HWUigZ8"",""💸 Expenses!A5:J200""),4,6)*1,0),0)"),2001.0)</f>
        <v>2001</v>
      </c>
      <c r="G44" s="86" t="str">
        <f>IFERROR(__xludf.DUMMYFUNCTION("IFERROR(INDEX(IMPORTRANGE(""12PgU-zwv8gBrFfxvJpoPIPcxUHWup-vsxMH3HWUigZ8"",""💸 Expenses!A5:J200""),4,7),"""")"),"UPI")</f>
        <v>UPI</v>
      </c>
      <c r="H44" s="86" t="str">
        <f>IFERROR(__xludf.DUMMYFUNCTION("IFERROR(INDEX(IMPORTRANGE(""12PgU-zwv8gBrFfxvJpoPIPcxUHWup-vsxMH3HWUigZ8"",""💸 Expenses!A5:J200""),4,8),"""")"),"Sunil Kumar")</f>
        <v>Sunil Kumar</v>
      </c>
      <c r="I44" s="86" t="str">
        <f>IFERROR(__xludf.DUMMYFUNCTION("IFERROR(INDEX(IMPORTRANGE(""12PgU-zwv8gBrFfxvJpoPIPcxUHWup-vsxMH3HWUigZ8"",""💸 Expenses!A5:J200""),4,9),"""")"),"")</f>
        <v/>
      </c>
      <c r="J44" s="86" t="str">
        <f>IFERROR(__xludf.DUMMYFUNCTION("IFERROR(INDEX(IMPORTRANGE(""12PgU-zwv8gBrFfxvJpoPIPcxUHWup-vsxMH3HWUigZ8"",""💸 Expenses!A5:J200""),4,10),"""")"),"Aadi Festival")</f>
        <v>Aadi Festival</v>
      </c>
      <c r="K44" s="37"/>
      <c r="L44" s="37"/>
      <c r="M44" s="37"/>
      <c r="N44" s="37"/>
    </row>
    <row r="45" ht="18.0" customHeight="1">
      <c r="A45" s="50" t="str">
        <f>IFERROR(__xludf.DUMMYFUNCTION("IFERROR(INDEX(IMPORTRANGE(""12PgU-zwv8gBrFfxvJpoPIPcxUHWup-vsxMH3HWUigZ8"",""💸 Expenses!A5:J200""),5,1),"""")"),"2026/EX/5")</f>
        <v>2026/EX/5</v>
      </c>
      <c r="B45" s="82" t="str">
        <f>IFERROR(__xludf.DUMMYFUNCTION("IFERROR(IF(INDEX(IMPORTRANGE(""12PgU-zwv8gBrFfxvJpoPIPcxUHWup-vsxMH3HWUigZ8"",""💸 Expenses!A5:J200""),5,2)="""","""",TEXT(INDEX(IMPORTRANGE(""12PgU-zwv8gBrFfxvJpoPIPcxUHWup-vsxMH3HWUigZ8"",""💸 Expenses!A5:J200""),5,2),""DD-MM-YYYY"")),"""")"),"26-05-26")</f>
        <v>26-05-26</v>
      </c>
      <c r="C45" s="83" t="str">
        <f>IFERROR(__xludf.DUMMYFUNCTION("IFERROR(INDEX(IMPORTRANGE(""12PgU-zwv8gBrFfxvJpoPIPcxUHWup-vsxMH3HWUigZ8"",""💸 Expenses!A5:J200""),5,3),"""")"),"Elagovan")</f>
        <v>Elagovan</v>
      </c>
      <c r="D45" s="83" t="str">
        <f>IFERROR(__xludf.DUMMYFUNCTION("IFERROR(INDEX(IMPORTRANGE(""12PgU-zwv8gBrFfxvJpoPIPcxUHWup-vsxMH3HWUigZ8"",""💸 Expenses!A5:J200""),5,4),"""")"),"Flowers &amp; Flower decoration for Chariot")</f>
        <v>Flowers &amp; Flower decoration for Chariot</v>
      </c>
      <c r="E45" s="83" t="str">
        <f>IFERROR(__xludf.DUMMYFUNCTION("IFERROR(INDEX(IMPORTRANGE(""12PgU-zwv8gBrFfxvJpoPIPcxUHWup-vsxMH3HWUigZ8"",""💸 Expenses!A5:J200""),5,5),"""")"),"Decorations &amp; Flowers")</f>
        <v>Decorations &amp; Flowers</v>
      </c>
      <c r="F45" s="84">
        <f>IFERROR(__xludf.DUMMYFUNCTION("IFERROR(IFERROR(INDEX(IMPORTRANGE(""12PgU-zwv8gBrFfxvJpoPIPcxUHWup-vsxMH3HWUigZ8"",""💸 Expenses!A5:J200""),5,6)*1,0),0)"),5001.0)</f>
        <v>5001</v>
      </c>
      <c r="G45" s="83" t="str">
        <f>IFERROR(__xludf.DUMMYFUNCTION("IFERROR(INDEX(IMPORTRANGE(""12PgU-zwv8gBrFfxvJpoPIPcxUHWup-vsxMH3HWUigZ8"",""💸 Expenses!A5:J200""),5,7),"""")"),"UPI")</f>
        <v>UPI</v>
      </c>
      <c r="H45" s="83" t="str">
        <f>IFERROR(__xludf.DUMMYFUNCTION("IFERROR(INDEX(IMPORTRANGE(""12PgU-zwv8gBrFfxvJpoPIPcxUHWup-vsxMH3HWUigZ8"",""💸 Expenses!A5:J200""),5,8),"""")"),"Sunil Kumar")</f>
        <v>Sunil Kumar</v>
      </c>
      <c r="I45" s="83" t="str">
        <f>IFERROR(__xludf.DUMMYFUNCTION("IFERROR(INDEX(IMPORTRANGE(""12PgU-zwv8gBrFfxvJpoPIPcxUHWup-vsxMH3HWUigZ8"",""💸 Expenses!A5:J200""),5,9),"""")"),"")</f>
        <v/>
      </c>
      <c r="J45" s="83" t="str">
        <f>IFERROR(__xludf.DUMMYFUNCTION("IFERROR(INDEX(IMPORTRANGE(""12PgU-zwv8gBrFfxvJpoPIPcxUHWup-vsxMH3HWUigZ8"",""💸 Expenses!A5:J200""),5,10),"""")"),"Aadi Festival")</f>
        <v>Aadi Festival</v>
      </c>
      <c r="K45" s="36"/>
      <c r="L45" s="36"/>
      <c r="M45" s="36"/>
      <c r="N45" s="36"/>
    </row>
    <row r="46" ht="18.0" customHeight="1">
      <c r="A46" s="54" t="str">
        <f>IFERROR(__xludf.DUMMYFUNCTION("IFERROR(INDEX(IMPORTRANGE(""12PgU-zwv8gBrFfxvJpoPIPcxUHWup-vsxMH3HWUigZ8"",""💸 Expenses!A5:J200""),6,1),"""")"),"2026/EX/6")</f>
        <v>2026/EX/6</v>
      </c>
      <c r="B46" s="85" t="str">
        <f>IFERROR(__xludf.DUMMYFUNCTION("IFERROR(IF(INDEX(IMPORTRANGE(""12PgU-zwv8gBrFfxvJpoPIPcxUHWup-vsxMH3HWUigZ8"",""💸 Expenses!A5:J200""),6,2)="""","""",TEXT(INDEX(IMPORTRANGE(""12PgU-zwv8gBrFfxvJpoPIPcxUHWup-vsxMH3HWUigZ8"",""💸 Expenses!A5:J200""),6,2),""DD-MM-YYYY"")),"""")"),"26-05-26")</f>
        <v>26-05-26</v>
      </c>
      <c r="C46" s="86" t="str">
        <f>IFERROR(__xludf.DUMMYFUNCTION("IFERROR(INDEX(IMPORTRANGE(""12PgU-zwv8gBrFfxvJpoPIPcxUHWup-vsxMH3HWUigZ8"",""💸 Expenses!A5:J200""),6,3),"""")"),"Suresh")</f>
        <v>Suresh</v>
      </c>
      <c r="D46" s="86" t="str">
        <f>IFERROR(__xludf.DUMMYFUNCTION("IFERROR(INDEX(IMPORTRANGE(""12PgU-zwv8gBrFfxvJpoPIPcxUHWup-vsxMH3HWUigZ8"",""💸 Expenses!A5:J200""),6,4),"""")")," Decoration of Ponniamman &amp; tempo charges for Procession")</f>
        <v> Decoration of Ponniamman &amp; tempo charges for Procession</v>
      </c>
      <c r="E46" s="86" t="str">
        <f>IFERROR(__xludf.DUMMYFUNCTION("IFERROR(INDEX(IMPORTRANGE(""12PgU-zwv8gBrFfxvJpoPIPcxUHWup-vsxMH3HWUigZ8"",""💸 Expenses!A5:J200""),6,5),"""")"),"Decorations &amp; Flowers")</f>
        <v>Decorations &amp; Flowers</v>
      </c>
      <c r="F46" s="87">
        <f>IFERROR(__xludf.DUMMYFUNCTION("IFERROR(IFERROR(INDEX(IMPORTRANGE(""12PgU-zwv8gBrFfxvJpoPIPcxUHWup-vsxMH3HWUigZ8"",""💸 Expenses!A5:J200""),6,6)*1,0),0)"),2001.0)</f>
        <v>2001</v>
      </c>
      <c r="G46" s="86" t="str">
        <f>IFERROR(__xludf.DUMMYFUNCTION("IFERROR(INDEX(IMPORTRANGE(""12PgU-zwv8gBrFfxvJpoPIPcxUHWup-vsxMH3HWUigZ8"",""💸 Expenses!A5:J200""),6,7),"""")"),"UPI")</f>
        <v>UPI</v>
      </c>
      <c r="H46" s="86" t="str">
        <f>IFERROR(__xludf.DUMMYFUNCTION("IFERROR(INDEX(IMPORTRANGE(""12PgU-zwv8gBrFfxvJpoPIPcxUHWup-vsxMH3HWUigZ8"",""💸 Expenses!A5:J200""),6,8),"""")"),"Sunil Kumar")</f>
        <v>Sunil Kumar</v>
      </c>
      <c r="I46" s="86" t="str">
        <f>IFERROR(__xludf.DUMMYFUNCTION("IFERROR(INDEX(IMPORTRANGE(""12PgU-zwv8gBrFfxvJpoPIPcxUHWup-vsxMH3HWUigZ8"",""💸 Expenses!A5:J200""),6,9),"""")"),"")</f>
        <v/>
      </c>
      <c r="J46" s="86" t="str">
        <f>IFERROR(__xludf.DUMMYFUNCTION("IFERROR(INDEX(IMPORTRANGE(""12PgU-zwv8gBrFfxvJpoPIPcxUHWup-vsxMH3HWUigZ8"",""💸 Expenses!A5:J200""),6,10),"""")"),"Aadi Festival")</f>
        <v>Aadi Festival</v>
      </c>
      <c r="K46" s="37"/>
      <c r="L46" s="37"/>
      <c r="M46" s="37"/>
      <c r="N46" s="37"/>
    </row>
    <row r="47" ht="18.0" customHeight="1">
      <c r="A47" s="50" t="str">
        <f>IFERROR(__xludf.DUMMYFUNCTION("IFERROR(INDEX(IMPORTRANGE(""12PgU-zwv8gBrFfxvJpoPIPcxUHWup-vsxMH3HWUigZ8"",""💸 Expenses!A5:J200""),7,1),"""")"),"2026/EX/7")</f>
        <v>2026/EX/7</v>
      </c>
      <c r="B47" s="82" t="str">
        <f>IFERROR(__xludf.DUMMYFUNCTION("IFERROR(IF(INDEX(IMPORTRANGE(""12PgU-zwv8gBrFfxvJpoPIPcxUHWup-vsxMH3HWUigZ8"",""💸 Expenses!A5:J200""),7,2)="""","""",TEXT(INDEX(IMPORTRANGE(""12PgU-zwv8gBrFfxvJpoPIPcxUHWup-vsxMH3HWUigZ8"",""💸 Expenses!A5:J200""),7,2),""DD-MM-YYYY"")),"""")"),"30-05-2026")</f>
        <v>30-05-2026</v>
      </c>
      <c r="C47" s="83" t="str">
        <f>IFERROR(__xludf.DUMMYFUNCTION("IFERROR(INDEX(IMPORTRANGE(""12PgU-zwv8gBrFfxvJpoPIPcxUHWup-vsxMH3HWUigZ8"",""💸 Expenses!A5:J200""),7,3),"""")"),"Chennai Studios")</f>
        <v>Chennai Studios</v>
      </c>
      <c r="D47" s="83" t="str">
        <f>IFERROR(__xludf.DUMMYFUNCTION("IFERROR(INDEX(IMPORTRANGE(""12PgU-zwv8gBrFfxvJpoPIPcxUHWup-vsxMH3HWUigZ8"",""💸 Expenses!A5:J200""),7,4),"""")"),"Photography Booking")</f>
        <v>Photography Booking</v>
      </c>
      <c r="E47" s="83" t="str">
        <f>IFERROR(__xludf.DUMMYFUNCTION("IFERROR(INDEX(IMPORTRANGE(""12PgU-zwv8gBrFfxvJpoPIPcxUHWup-vsxMH3HWUigZ8"",""💸 Expenses!A5:J200""),7,5),"""")"),"Miscellaneous")</f>
        <v>Miscellaneous</v>
      </c>
      <c r="F47" s="84">
        <f>IFERROR(__xludf.DUMMYFUNCTION("IFERROR(IFERROR(INDEX(IMPORTRANGE(""12PgU-zwv8gBrFfxvJpoPIPcxUHWup-vsxMH3HWUigZ8"",""💸 Expenses!A5:J200""),7,6)*1,0),0)"),1001.0)</f>
        <v>1001</v>
      </c>
      <c r="G47" s="83" t="str">
        <f>IFERROR(__xludf.DUMMYFUNCTION("IFERROR(INDEX(IMPORTRANGE(""12PgU-zwv8gBrFfxvJpoPIPcxUHWup-vsxMH3HWUigZ8"",""💸 Expenses!A5:J200""),7,7),"""")"),"UPI")</f>
        <v>UPI</v>
      </c>
      <c r="H47" s="83" t="str">
        <f>IFERROR(__xludf.DUMMYFUNCTION("IFERROR(INDEX(IMPORTRANGE(""12PgU-zwv8gBrFfxvJpoPIPcxUHWup-vsxMH3HWUigZ8"",""💸 Expenses!A5:J200""),7,8),"""")"),"Sunil Kumar")</f>
        <v>Sunil Kumar</v>
      </c>
      <c r="I47" s="83" t="str">
        <f>IFERROR(__xludf.DUMMYFUNCTION("IFERROR(INDEX(IMPORTRANGE(""12PgU-zwv8gBrFfxvJpoPIPcxUHWup-vsxMH3HWUigZ8"",""💸 Expenses!A5:J200""),7,9),"""")"),"")</f>
        <v/>
      </c>
      <c r="J47" s="83" t="str">
        <f>IFERROR(__xludf.DUMMYFUNCTION("IFERROR(INDEX(IMPORTRANGE(""12PgU-zwv8gBrFfxvJpoPIPcxUHWup-vsxMH3HWUigZ8"",""💸 Expenses!A5:J200""),7,10),"""")"),"Aadi Festival")</f>
        <v>Aadi Festival</v>
      </c>
      <c r="K47" s="36"/>
      <c r="L47" s="36"/>
      <c r="M47" s="36"/>
      <c r="N47" s="36"/>
    </row>
    <row r="48" ht="18.0" customHeight="1">
      <c r="A48" s="54" t="str">
        <f>IFERROR(__xludf.DUMMYFUNCTION("IFERROR(INDEX(IMPORTRANGE(""12PgU-zwv8gBrFfxvJpoPIPcxUHWup-vsxMH3HWUigZ8"",""💸 Expenses!A5:J200""),8,1),"""")"),"2026/EX/8")</f>
        <v>2026/EX/8</v>
      </c>
      <c r="B48" s="85" t="str">
        <f>IFERROR(__xludf.DUMMYFUNCTION("IFERROR(IF(INDEX(IMPORTRANGE(""12PgU-zwv8gBrFfxvJpoPIPcxUHWup-vsxMH3HWUigZ8"",""💸 Expenses!A5:J200""),8,2)="""","""",TEXT(INDEX(IMPORTRANGE(""12PgU-zwv8gBrFfxvJpoPIPcxUHWup-vsxMH3HWUigZ8"",""💸 Expenses!A5:J200""),8,2),""DD-MM-YYYY"")),"""")"),"30-05-2026")</f>
        <v>30-05-2026</v>
      </c>
      <c r="C48" s="86" t="str">
        <f>IFERROR(__xludf.DUMMYFUNCTION("IFERROR(INDEX(IMPORTRANGE(""12PgU-zwv8gBrFfxvJpoPIPcxUHWup-vsxMH3HWUigZ8"",""💸 Expenses!A5:J200""),8,3),"""")"),"Narasimhan")</f>
        <v>Narasimhan</v>
      </c>
      <c r="D48" s="86" t="str">
        <f>IFERROR(__xludf.DUMMYFUNCTION("IFERROR(INDEX(IMPORTRANGE(""12PgU-zwv8gBrFfxvJpoPIPcxUHWup-vsxMH3HWUigZ8"",""💸 Expenses!A5:J200""),8,4),"""")"),"Nadeswaram Booking")</f>
        <v>Nadeswaram Booking</v>
      </c>
      <c r="E48" s="86" t="str">
        <f>IFERROR(__xludf.DUMMYFUNCTION("IFERROR(INDEX(IMPORTRANGE(""12PgU-zwv8gBrFfxvJpoPIPcxUHWup-vsxMH3HWUigZ8"",""💸 Expenses!A5:J200""),8,5),"""")"),"Puja &amp; Rituals")</f>
        <v>Puja &amp; Rituals</v>
      </c>
      <c r="F48" s="87">
        <f>IFERROR(__xludf.DUMMYFUNCTION("IFERROR(IFERROR(INDEX(IMPORTRANGE(""12PgU-zwv8gBrFfxvJpoPIPcxUHWup-vsxMH3HWUigZ8"",""💸 Expenses!A5:J200""),8,6)*1,0),0)"),1001.0)</f>
        <v>1001</v>
      </c>
      <c r="G48" s="86" t="str">
        <f>IFERROR(__xludf.DUMMYFUNCTION("IFERROR(INDEX(IMPORTRANGE(""12PgU-zwv8gBrFfxvJpoPIPcxUHWup-vsxMH3HWUigZ8"",""💸 Expenses!A5:J200""),8,7),"""")"),"UPI")</f>
        <v>UPI</v>
      </c>
      <c r="H48" s="86" t="str">
        <f>IFERROR(__xludf.DUMMYFUNCTION("IFERROR(INDEX(IMPORTRANGE(""12PgU-zwv8gBrFfxvJpoPIPcxUHWup-vsxMH3HWUigZ8"",""💸 Expenses!A5:J200""),8,8),"""")"),"Sunil Kumar")</f>
        <v>Sunil Kumar</v>
      </c>
      <c r="I48" s="86" t="str">
        <f>IFERROR(__xludf.DUMMYFUNCTION("IFERROR(INDEX(IMPORTRANGE(""12PgU-zwv8gBrFfxvJpoPIPcxUHWup-vsxMH3HWUigZ8"",""💸 Expenses!A5:J200""),8,9),"""")"),"")</f>
        <v/>
      </c>
      <c r="J48" s="86" t="str">
        <f>IFERROR(__xludf.DUMMYFUNCTION("IFERROR(INDEX(IMPORTRANGE(""12PgU-zwv8gBrFfxvJpoPIPcxUHWup-vsxMH3HWUigZ8"",""💸 Expenses!A5:J200""),8,10),"""")"),"Aadi Festival")</f>
        <v>Aadi Festival</v>
      </c>
      <c r="K48" s="37"/>
      <c r="L48" s="37"/>
      <c r="M48" s="37"/>
      <c r="N48" s="37"/>
    </row>
    <row r="49" ht="18.0" customHeight="1">
      <c r="A49" s="50" t="str">
        <f>IFERROR(__xludf.DUMMYFUNCTION("IFERROR(INDEX(IMPORTRANGE(""12PgU-zwv8gBrFfxvJpoPIPcxUHWup-vsxMH3HWUigZ8"",""💸 Expenses!A5:J200""),9,1),"""")"),"2026/EX/9")</f>
        <v>2026/EX/9</v>
      </c>
      <c r="B49" s="82" t="str">
        <f>IFERROR(__xludf.DUMMYFUNCTION("IFERROR(IF(INDEX(IMPORTRANGE(""12PgU-zwv8gBrFfxvJpoPIPcxUHWup-vsxMH3HWUigZ8"",""💸 Expenses!A5:J200""),9,2)="""","""",TEXT(INDEX(IMPORTRANGE(""12PgU-zwv8gBrFfxvJpoPIPcxUHWup-vsxMH3HWUigZ8"",""💸 Expenses!A5:J200""),9,2),""DD-MM-YYYY"")),"""")"),"30-05-2026")</f>
        <v>30-05-2026</v>
      </c>
      <c r="C49" s="83" t="str">
        <f>IFERROR(__xludf.DUMMYFUNCTION("IFERROR(INDEX(IMPORTRANGE(""12PgU-zwv8gBrFfxvJpoPIPcxUHWup-vsxMH3HWUigZ8"",""💸 Expenses!A5:J200""),9,3),"""")"),"Pradhap")</f>
        <v>Pradhap</v>
      </c>
      <c r="D49" s="83" t="str">
        <f>IFERROR(__xludf.DUMMYFUNCTION("IFERROR(INDEX(IMPORTRANGE(""12PgU-zwv8gBrFfxvJpoPIPcxUHWup-vsxMH3HWUigZ8"",""💸 Expenses!A5:J200""),9,4),"""")"),"Tamte Booking")</f>
        <v>Tamte Booking</v>
      </c>
      <c r="E49" s="83" t="str">
        <f>IFERROR(__xludf.DUMMYFUNCTION("IFERROR(INDEX(IMPORTRANGE(""12PgU-zwv8gBrFfxvJpoPIPcxUHWup-vsxMH3HWUigZ8"",""💸 Expenses!A5:J200""),9,5),"""")"),"Puja &amp; Rituals")</f>
        <v>Puja &amp; Rituals</v>
      </c>
      <c r="F49" s="84">
        <f>IFERROR(__xludf.DUMMYFUNCTION("IFERROR(IFERROR(INDEX(IMPORTRANGE(""12PgU-zwv8gBrFfxvJpoPIPcxUHWup-vsxMH3HWUigZ8"",""💸 Expenses!A5:J200""),9,6)*1,0),0)"),1001.0)</f>
        <v>1001</v>
      </c>
      <c r="G49" s="83" t="str">
        <f>IFERROR(__xludf.DUMMYFUNCTION("IFERROR(INDEX(IMPORTRANGE(""12PgU-zwv8gBrFfxvJpoPIPcxUHWup-vsxMH3HWUigZ8"",""💸 Expenses!A5:J200""),9,7),"""")"),"UPI")</f>
        <v>UPI</v>
      </c>
      <c r="H49" s="83" t="str">
        <f>IFERROR(__xludf.DUMMYFUNCTION("IFERROR(INDEX(IMPORTRANGE(""12PgU-zwv8gBrFfxvJpoPIPcxUHWup-vsxMH3HWUigZ8"",""💸 Expenses!A5:J200""),9,8),"""")"),"Sunil Kumar")</f>
        <v>Sunil Kumar</v>
      </c>
      <c r="I49" s="83" t="str">
        <f>IFERROR(__xludf.DUMMYFUNCTION("IFERROR(INDEX(IMPORTRANGE(""12PgU-zwv8gBrFfxvJpoPIPcxUHWup-vsxMH3HWUigZ8"",""💸 Expenses!A5:J200""),9,9),"""")"),"")</f>
        <v/>
      </c>
      <c r="J49" s="83" t="str">
        <f>IFERROR(__xludf.DUMMYFUNCTION("IFERROR(INDEX(IMPORTRANGE(""12PgU-zwv8gBrFfxvJpoPIPcxUHWup-vsxMH3HWUigZ8"",""💸 Expenses!A5:J200""),9,10),"""")"),"Aadi Festival")</f>
        <v>Aadi Festival</v>
      </c>
      <c r="K49" s="36"/>
      <c r="L49" s="36"/>
      <c r="M49" s="36"/>
      <c r="N49" s="36"/>
    </row>
    <row r="50" ht="18.0" customHeight="1">
      <c r="A50" s="54" t="str">
        <f>IFERROR(__xludf.DUMMYFUNCTION("IFERROR(INDEX(IMPORTRANGE(""12PgU-zwv8gBrFfxvJpoPIPcxUHWup-vsxMH3HWUigZ8"",""💸 Expenses!A5:J200""),10,1),"""")"),"2026/EX/10")</f>
        <v>2026/EX/10</v>
      </c>
      <c r="B50" s="85" t="str">
        <f>IFERROR(__xludf.DUMMYFUNCTION("IFERROR(IF(INDEX(IMPORTRANGE(""12PgU-zwv8gBrFfxvJpoPIPcxUHWup-vsxMH3HWUigZ8"",""💸 Expenses!A5:J200""),10,2)="""","""",TEXT(INDEX(IMPORTRANGE(""12PgU-zwv8gBrFfxvJpoPIPcxUHWup-vsxMH3HWUigZ8"",""💸 Expenses!A5:J200""),10,2),""DD-MM-YYYY"")),"""")"),"30-05-2026")</f>
        <v>30-05-2026</v>
      </c>
      <c r="C50" s="86" t="str">
        <f>IFERROR(__xludf.DUMMYFUNCTION("IFERROR(INDEX(IMPORTRANGE(""12PgU-zwv8gBrFfxvJpoPIPcxUHWup-vsxMH3HWUigZ8"",""💸 Expenses!A5:J200""),10,3),"""")"),"Damodharan")</f>
        <v>Damodharan</v>
      </c>
      <c r="D50" s="86" t="str">
        <f>IFERROR(__xludf.DUMMYFUNCTION("IFERROR(INDEX(IMPORTRANGE(""12PgU-zwv8gBrFfxvJpoPIPcxUHWup-vsxMH3HWUigZ8"",""💸 Expenses!A5:J200""),10,4),"""")"),"Invitation balance")</f>
        <v>Invitation balance</v>
      </c>
      <c r="E50" s="86" t="str">
        <f>IFERROR(__xludf.DUMMYFUNCTION("IFERROR(INDEX(IMPORTRANGE(""12PgU-zwv8gBrFfxvJpoPIPcxUHWup-vsxMH3HWUigZ8"",""💸 Expenses!A5:J200""),10,5),"""")"),"Miscellaneous")</f>
        <v>Miscellaneous</v>
      </c>
      <c r="F50" s="87">
        <f>IFERROR(__xludf.DUMMYFUNCTION("IFERROR(IFERROR(INDEX(IMPORTRANGE(""12PgU-zwv8gBrFfxvJpoPIPcxUHWup-vsxMH3HWUigZ8"",""💸 Expenses!A5:J200""),10,6)*1,0),0)"),1000.0)</f>
        <v>1000</v>
      </c>
      <c r="G50" s="86" t="str">
        <f>IFERROR(__xludf.DUMMYFUNCTION("IFERROR(INDEX(IMPORTRANGE(""12PgU-zwv8gBrFfxvJpoPIPcxUHWup-vsxMH3HWUigZ8"",""💸 Expenses!A5:J200""),10,7),"""")"),"UPI")</f>
        <v>UPI</v>
      </c>
      <c r="H50" s="86" t="str">
        <f>IFERROR(__xludf.DUMMYFUNCTION("IFERROR(INDEX(IMPORTRANGE(""12PgU-zwv8gBrFfxvJpoPIPcxUHWup-vsxMH3HWUigZ8"",""💸 Expenses!A5:J200""),10,8),"""")"),"Sunil Kumar")</f>
        <v>Sunil Kumar</v>
      </c>
      <c r="I50" s="86" t="str">
        <f>IFERROR(__xludf.DUMMYFUNCTION("IFERROR(INDEX(IMPORTRANGE(""12PgU-zwv8gBrFfxvJpoPIPcxUHWup-vsxMH3HWUigZ8"",""💸 Expenses!A5:J200""),10,9),"""")"),"")</f>
        <v/>
      </c>
      <c r="J50" s="86" t="str">
        <f>IFERROR(__xludf.DUMMYFUNCTION("IFERROR(INDEX(IMPORTRANGE(""12PgU-zwv8gBrFfxvJpoPIPcxUHWup-vsxMH3HWUigZ8"",""💸 Expenses!A5:J200""),10,10),"""")"),"Aadi Festival")</f>
        <v>Aadi Festival</v>
      </c>
      <c r="K50" s="37"/>
      <c r="L50" s="37"/>
      <c r="M50" s="37"/>
      <c r="N50" s="37"/>
    </row>
    <row r="51" ht="18.0" customHeight="1">
      <c r="A51" s="50" t="str">
        <f>IFERROR(__xludf.DUMMYFUNCTION("IFERROR(INDEX(IMPORTRANGE(""12PgU-zwv8gBrFfxvJpoPIPcxUHWup-vsxMH3HWUigZ8"",""💸 Expenses!A5:J200""),11,1),"""")"),"2026/EX/11")</f>
        <v>2026/EX/11</v>
      </c>
      <c r="B51" s="82" t="str">
        <f>IFERROR(__xludf.DUMMYFUNCTION("IFERROR(IF(INDEX(IMPORTRANGE(""12PgU-zwv8gBrFfxvJpoPIPcxUHWup-vsxMH3HWUigZ8"",""💸 Expenses!A5:J200""),11,2)="""","""",TEXT(INDEX(IMPORTRANGE(""12PgU-zwv8gBrFfxvJpoPIPcxUHWup-vsxMH3HWUigZ8"",""💸 Expenses!A5:J200""),11,2),""DD-MM-YYYY"")),"""")"),"31-05-2026")</f>
        <v>31-05-2026</v>
      </c>
      <c r="C51" s="83" t="str">
        <f>IFERROR(__xludf.DUMMYFUNCTION("IFERROR(INDEX(IMPORTRANGE(""12PgU-zwv8gBrFfxvJpoPIPcxUHWup-vsxMH3HWUigZ8"",""💸 Expenses!A5:J200""),11,3),"""")"),"Print Out")</f>
        <v>Print Out</v>
      </c>
      <c r="D51" s="83" t="str">
        <f>IFERROR(__xludf.DUMMYFUNCTION("IFERROR(INDEX(IMPORTRANGE(""12PgU-zwv8gBrFfxvJpoPIPcxUHWup-vsxMH3HWUigZ8"",""💸 Expenses!A5:J200""),11,4),"""")"),"Invite Print out laminate")</f>
        <v>Invite Print out laminate</v>
      </c>
      <c r="E51" s="83" t="str">
        <f>IFERROR(__xludf.DUMMYFUNCTION("IFERROR(INDEX(IMPORTRANGE(""12PgU-zwv8gBrFfxvJpoPIPcxUHWup-vsxMH3HWUigZ8"",""💸 Expenses!A5:J200""),11,5),"""")"),"Miscellaneous")</f>
        <v>Miscellaneous</v>
      </c>
      <c r="F51" s="84">
        <f>IFERROR(__xludf.DUMMYFUNCTION("IFERROR(IFERROR(INDEX(IMPORTRANGE(""12PgU-zwv8gBrFfxvJpoPIPcxUHWup-vsxMH3HWUigZ8"",""💸 Expenses!A5:J200""),11,6)*1,0),0)"),60.0)</f>
        <v>60</v>
      </c>
      <c r="G51" s="83" t="str">
        <f>IFERROR(__xludf.DUMMYFUNCTION("IFERROR(INDEX(IMPORTRANGE(""12PgU-zwv8gBrFfxvJpoPIPcxUHWup-vsxMH3HWUigZ8"",""💸 Expenses!A5:J200""),11,7),"""")"),"UPI")</f>
        <v>UPI</v>
      </c>
      <c r="H51" s="83" t="str">
        <f>IFERROR(__xludf.DUMMYFUNCTION("IFERROR(INDEX(IMPORTRANGE(""12PgU-zwv8gBrFfxvJpoPIPcxUHWup-vsxMH3HWUigZ8"",""💸 Expenses!A5:J200""),11,8),"""")"),"Sunil Kumar")</f>
        <v>Sunil Kumar</v>
      </c>
      <c r="I51" s="83" t="str">
        <f>IFERROR(__xludf.DUMMYFUNCTION("IFERROR(INDEX(IMPORTRANGE(""12PgU-zwv8gBrFfxvJpoPIPcxUHWup-vsxMH3HWUigZ8"",""💸 Expenses!A5:J200""),11,9),"""")"),"")</f>
        <v/>
      </c>
      <c r="J51" s="83" t="str">
        <f>IFERROR(__xludf.DUMMYFUNCTION("IFERROR(INDEX(IMPORTRANGE(""12PgU-zwv8gBrFfxvJpoPIPcxUHWup-vsxMH3HWUigZ8"",""💸 Expenses!A5:J200""),11,10),"""")"),"Aadi Festival")</f>
        <v>Aadi Festival</v>
      </c>
      <c r="K51" s="36"/>
      <c r="L51" s="36"/>
      <c r="M51" s="36"/>
      <c r="N51" s="36"/>
    </row>
    <row r="52" ht="18.0" customHeight="1">
      <c r="A52" s="54" t="str">
        <f>IFERROR(__xludf.DUMMYFUNCTION("IFERROR(INDEX(IMPORTRANGE(""12PgU-zwv8gBrFfxvJpoPIPcxUHWup-vsxMH3HWUigZ8"",""💸 Expenses!A5:J200""),12,1),"""")"),"2026/EX/12")</f>
        <v>2026/EX/12</v>
      </c>
      <c r="B52" s="85" t="str">
        <f>IFERROR(__xludf.DUMMYFUNCTION("IFERROR(IF(INDEX(IMPORTRANGE(""12PgU-zwv8gBrFfxvJpoPIPcxUHWup-vsxMH3HWUigZ8"",""💸 Expenses!A5:J200""),12,2)="""","""",TEXT(INDEX(IMPORTRANGE(""12PgU-zwv8gBrFfxvJpoPIPcxUHWup-vsxMH3HWUigZ8"",""💸 Expenses!A5:J200""),12,2),""DD-MM-YYYY"")),"""")"),"31-05-2026")</f>
        <v>31-05-2026</v>
      </c>
      <c r="C52" s="86" t="str">
        <f>IFERROR(__xludf.DUMMYFUNCTION("IFERROR(INDEX(IMPORTRANGE(""12PgU-zwv8gBrFfxvJpoPIPcxUHWup-vsxMH3HWUigZ8"",""💸 Expenses!A5:J200""),12,3),"""")"),"Amma Hotel")</f>
        <v>Amma Hotel</v>
      </c>
      <c r="D52" s="86" t="str">
        <f>IFERROR(__xludf.DUMMYFUNCTION("IFERROR(INDEX(IMPORTRANGE(""12PgU-zwv8gBrFfxvJpoPIPcxUHWup-vsxMH3HWUigZ8"",""💸 Expenses!A5:J200""),12,4),"""")"),"Food Catering")</f>
        <v>Food Catering</v>
      </c>
      <c r="E52" s="86" t="str">
        <f>IFERROR(__xludf.DUMMYFUNCTION("IFERROR(INDEX(IMPORTRANGE(""12PgU-zwv8gBrFfxvJpoPIPcxUHWup-vsxMH3HWUigZ8"",""💸 Expenses!A5:J200""),12,5),"""")"),"Food &amp; Catering")</f>
        <v>Food &amp; Catering</v>
      </c>
      <c r="F52" s="87">
        <f>IFERROR(__xludf.DUMMYFUNCTION("IFERROR(IFERROR(INDEX(IMPORTRANGE(""12PgU-zwv8gBrFfxvJpoPIPcxUHWup-vsxMH3HWUigZ8"",""💸 Expenses!A5:J200""),12,6)*1,0),0)"),40000.0)</f>
        <v>40000</v>
      </c>
      <c r="G52" s="86" t="str">
        <f>IFERROR(__xludf.DUMMYFUNCTION("IFERROR(INDEX(IMPORTRANGE(""12PgU-zwv8gBrFfxvJpoPIPcxUHWup-vsxMH3HWUigZ8"",""💸 Expenses!A5:J200""),12,7),"""")"),"UPI")</f>
        <v>UPI</v>
      </c>
      <c r="H52" s="86" t="str">
        <f>IFERROR(__xludf.DUMMYFUNCTION("IFERROR(INDEX(IMPORTRANGE(""12PgU-zwv8gBrFfxvJpoPIPcxUHWup-vsxMH3HWUigZ8"",""💸 Expenses!A5:J200""),12,8),"""")"),"Sunil Kumar")</f>
        <v>Sunil Kumar</v>
      </c>
      <c r="I52" s="86" t="str">
        <f>IFERROR(__xludf.DUMMYFUNCTION("IFERROR(INDEX(IMPORTRANGE(""12PgU-zwv8gBrFfxvJpoPIPcxUHWup-vsxMH3HWUigZ8"",""💸 Expenses!A5:J200""),12,9),"""")"),"")</f>
        <v/>
      </c>
      <c r="J52" s="86" t="str">
        <f>IFERROR(__xludf.DUMMYFUNCTION("IFERROR(INDEX(IMPORTRANGE(""12PgU-zwv8gBrFfxvJpoPIPcxUHWup-vsxMH3HWUigZ8"",""💸 Expenses!A5:J200""),12,10),"""")"),"Aadi Festival")</f>
        <v>Aadi Festival</v>
      </c>
      <c r="K52" s="37"/>
      <c r="L52" s="37"/>
      <c r="M52" s="37"/>
      <c r="N52" s="37"/>
    </row>
    <row r="53" ht="18.0" customHeight="1">
      <c r="A53" s="50" t="str">
        <f>IFERROR(__xludf.DUMMYFUNCTION("IFERROR(INDEX(IMPORTRANGE(""12PgU-zwv8gBrFfxvJpoPIPcxUHWup-vsxMH3HWUigZ8"",""💸 Expenses!A5:J200""),13,1),"""")"),"2026/EX/13")</f>
        <v>2026/EX/13</v>
      </c>
      <c r="B53" s="82" t="str">
        <f>IFERROR(__xludf.DUMMYFUNCTION("IFERROR(IF(INDEX(IMPORTRANGE(""12PgU-zwv8gBrFfxvJpoPIPcxUHWup-vsxMH3HWUigZ8"",""💸 Expenses!A5:J200""),13,2)="""","""",TEXT(INDEX(IMPORTRANGE(""12PgU-zwv8gBrFfxvJpoPIPcxUHWup-vsxMH3HWUigZ8"",""💸 Expenses!A5:J200""),13,2),""DD-MM-YYYY"")),"""")"),"31-05-2026")</f>
        <v>31-05-2026</v>
      </c>
      <c r="C53" s="83" t="str">
        <f>IFERROR(__xludf.DUMMYFUNCTION("IFERROR(INDEX(IMPORTRANGE(""12PgU-zwv8gBrFfxvJpoPIPcxUHWup-vsxMH3HWUigZ8"",""💸 Expenses!A5:J200""),13,3),"""")"),"Bala Abhirami")</f>
        <v>Bala Abhirami</v>
      </c>
      <c r="D53" s="83" t="str">
        <f>IFERROR(__xludf.DUMMYFUNCTION("IFERROR(INDEX(IMPORTRANGE(""12PgU-zwv8gBrFfxvJpoPIPcxUHWup-vsxMH3HWUigZ8"",""💸 Expenses!A5:J200""),13,4),"""")"),"Temple cleaning, painting, pipe repair materials")</f>
        <v>Temple cleaning, painting, pipe repair materials</v>
      </c>
      <c r="E53" s="83" t="str">
        <f>IFERROR(__xludf.DUMMYFUNCTION("IFERROR(INDEX(IMPORTRANGE(""12PgU-zwv8gBrFfxvJpoPIPcxUHWup-vsxMH3HWUigZ8"",""💸 Expenses!A5:J200""),13,5),"""")"),"Infrastructure &amp; Logistics")</f>
        <v>Infrastructure &amp; Logistics</v>
      </c>
      <c r="F53" s="84">
        <f>IFERROR(__xludf.DUMMYFUNCTION("IFERROR(IFERROR(INDEX(IMPORTRANGE(""12PgU-zwv8gBrFfxvJpoPIPcxUHWup-vsxMH3HWUigZ8"",""💸 Expenses!A5:J200""),13,6)*1,0),0)"),785.0)</f>
        <v>785</v>
      </c>
      <c r="G53" s="83" t="str">
        <f>IFERROR(__xludf.DUMMYFUNCTION("IFERROR(INDEX(IMPORTRANGE(""12PgU-zwv8gBrFfxvJpoPIPcxUHWup-vsxMH3HWUigZ8"",""💸 Expenses!A5:J200""),13,7),"""")"),"UPI")</f>
        <v>UPI</v>
      </c>
      <c r="H53" s="83" t="str">
        <f>IFERROR(__xludf.DUMMYFUNCTION("IFERROR(INDEX(IMPORTRANGE(""12PgU-zwv8gBrFfxvJpoPIPcxUHWup-vsxMH3HWUigZ8"",""💸 Expenses!A5:J200""),13,8),"""")"),"Sunil Kumar")</f>
        <v>Sunil Kumar</v>
      </c>
      <c r="I53" s="83" t="str">
        <f>IFERROR(__xludf.DUMMYFUNCTION("IFERROR(INDEX(IMPORTRANGE(""12PgU-zwv8gBrFfxvJpoPIPcxUHWup-vsxMH3HWUigZ8"",""💸 Expenses!A5:J200""),13,9),"""")"),"")</f>
        <v/>
      </c>
      <c r="J53" s="83" t="str">
        <f>IFERROR(__xludf.DUMMYFUNCTION("IFERROR(INDEX(IMPORTRANGE(""12PgU-zwv8gBrFfxvJpoPIPcxUHWup-vsxMH3HWUigZ8"",""💸 Expenses!A5:J200""),13,10),"""")"),"Aadi Festival")</f>
        <v>Aadi Festival</v>
      </c>
      <c r="K53" s="36"/>
      <c r="L53" s="36"/>
      <c r="M53" s="36"/>
      <c r="N53" s="36"/>
    </row>
    <row r="54" ht="18.0" customHeight="1">
      <c r="A54" s="54" t="str">
        <f>IFERROR(__xludf.DUMMYFUNCTION("IFERROR(INDEX(IMPORTRANGE(""12PgU-zwv8gBrFfxvJpoPIPcxUHWup-vsxMH3HWUigZ8"",""💸 Expenses!A5:J200""),14,1),"""")"),"2026/EX/14")</f>
        <v>2026/EX/14</v>
      </c>
      <c r="B54" s="85" t="str">
        <f>IFERROR(__xludf.DUMMYFUNCTION("IFERROR(IF(INDEX(IMPORTRANGE(""12PgU-zwv8gBrFfxvJpoPIPcxUHWup-vsxMH3HWUigZ8"",""💸 Expenses!A5:J200""),14,2)="""","""",TEXT(INDEX(IMPORTRANGE(""12PgU-zwv8gBrFfxvJpoPIPcxUHWup-vsxMH3HWUigZ8"",""💸 Expenses!A5:J200""),14,2),""DD-MM-YYYY"")),"""")"),"30-05-2026")</f>
        <v>30-05-2026</v>
      </c>
      <c r="C54" s="86" t="str">
        <f>IFERROR(__xludf.DUMMYFUNCTION("IFERROR(INDEX(IMPORTRANGE(""12PgU-zwv8gBrFfxvJpoPIPcxUHWup-vsxMH3HWUigZ8"",""💸 Expenses!A5:J200""),14,3),"""")"),"Narayana")</f>
        <v>Narayana</v>
      </c>
      <c r="D54" s="86" t="str">
        <f>IFERROR(__xludf.DUMMYFUNCTION("IFERROR(INDEX(IMPORTRANGE(""12PgU-zwv8gBrFfxvJpoPIPcxUHWup-vsxMH3HWUigZ8"",""💸 Expenses!A5:J200""),14,4),"""")"),"Ladder rental and transport")</f>
        <v>Ladder rental and transport</v>
      </c>
      <c r="E54" s="86" t="str">
        <f>IFERROR(__xludf.DUMMYFUNCTION("IFERROR(INDEX(IMPORTRANGE(""12PgU-zwv8gBrFfxvJpoPIPcxUHWup-vsxMH3HWUigZ8"",""💸 Expenses!A5:J200""),14,5),"""")"),"Transport")</f>
        <v>Transport</v>
      </c>
      <c r="F54" s="87">
        <f>IFERROR(__xludf.DUMMYFUNCTION("IFERROR(IFERROR(INDEX(IMPORTRANGE(""12PgU-zwv8gBrFfxvJpoPIPcxUHWup-vsxMH3HWUigZ8"",""💸 Expenses!A5:J200""),14,6)*1,0),0)"),500.0)</f>
        <v>500</v>
      </c>
      <c r="G54" s="86" t="str">
        <f>IFERROR(__xludf.DUMMYFUNCTION("IFERROR(INDEX(IMPORTRANGE(""12PgU-zwv8gBrFfxvJpoPIPcxUHWup-vsxMH3HWUigZ8"",""💸 Expenses!A5:J200""),14,7),"""")"),"UPI")</f>
        <v>UPI</v>
      </c>
      <c r="H54" s="86" t="str">
        <f>IFERROR(__xludf.DUMMYFUNCTION("IFERROR(INDEX(IMPORTRANGE(""12PgU-zwv8gBrFfxvJpoPIPcxUHWup-vsxMH3HWUigZ8"",""💸 Expenses!A5:J200""),14,8),"""")"),"Sunil Kumar")</f>
        <v>Sunil Kumar</v>
      </c>
      <c r="I54" s="86" t="str">
        <f>IFERROR(__xludf.DUMMYFUNCTION("IFERROR(INDEX(IMPORTRANGE(""12PgU-zwv8gBrFfxvJpoPIPcxUHWup-vsxMH3HWUigZ8"",""💸 Expenses!A5:J200""),14,9),"""")"),"Sheet Work")</f>
        <v>Sheet Work</v>
      </c>
      <c r="J54" s="86" t="str">
        <f>IFERROR(__xludf.DUMMYFUNCTION("IFERROR(INDEX(IMPORTRANGE(""12PgU-zwv8gBrFfxvJpoPIPcxUHWup-vsxMH3HWUigZ8"",""💸 Expenses!A5:J200""),14,10),"""")"),"Temple Development")</f>
        <v>Temple Development</v>
      </c>
      <c r="K54" s="37"/>
      <c r="L54" s="37"/>
      <c r="M54" s="37"/>
      <c r="N54" s="37"/>
    </row>
    <row r="55" ht="18.0" customHeight="1">
      <c r="A55" s="50" t="str">
        <f>IFERROR(__xludf.DUMMYFUNCTION("IFERROR(INDEX(IMPORTRANGE(""12PgU-zwv8gBrFfxvJpoPIPcxUHWup-vsxMH3HWUigZ8"",""💸 Expenses!A5:J200""),15,1),"""")"),"2026/EX/15")</f>
        <v>2026/EX/15</v>
      </c>
      <c r="B55" s="82" t="str">
        <f>IFERROR(__xludf.DUMMYFUNCTION("IFERROR(IF(INDEX(IMPORTRANGE(""12PgU-zwv8gBrFfxvJpoPIPcxUHWup-vsxMH3HWUigZ8"",""💸 Expenses!A5:J200""),15,2)="""","""",TEXT(INDEX(IMPORTRANGE(""12PgU-zwv8gBrFfxvJpoPIPcxUHWup-vsxMH3HWUigZ8"",""💸 Expenses!A5:J200""),15,2),""DD-MM-YYYY"")),"""")"),"30-05-2026")</f>
        <v>30-05-2026</v>
      </c>
      <c r="C55" s="83" t="str">
        <f>IFERROR(__xludf.DUMMYFUNCTION("IFERROR(INDEX(IMPORTRANGE(""12PgU-zwv8gBrFfxvJpoPIPcxUHWup-vsxMH3HWUigZ8"",""💸 Expenses!A5:J200""),15,3),"""")"),"Narayana")</f>
        <v>Narayana</v>
      </c>
      <c r="D55" s="83" t="str">
        <f>IFERROR(__xludf.DUMMYFUNCTION("IFERROR(INDEX(IMPORTRANGE(""12PgU-zwv8gBrFfxvJpoPIPcxUHWup-vsxMH3HWUigZ8"",""💸 Expenses!A5:J200""),15,4),"""")"),"Breakfast for labours")</f>
        <v>Breakfast for labours</v>
      </c>
      <c r="E55" s="83" t="str">
        <f>IFERROR(__xludf.DUMMYFUNCTION("IFERROR(INDEX(IMPORTRANGE(""12PgU-zwv8gBrFfxvJpoPIPcxUHWup-vsxMH3HWUigZ8"",""💸 Expenses!A5:J200""),15,5),"""")"),"Food")</f>
        <v>Food</v>
      </c>
      <c r="F55" s="84">
        <f>IFERROR(__xludf.DUMMYFUNCTION("IFERROR(IFERROR(INDEX(IMPORTRANGE(""12PgU-zwv8gBrFfxvJpoPIPcxUHWup-vsxMH3HWUigZ8"",""💸 Expenses!A5:J200""),15,6)*1,0),0)"),170.0)</f>
        <v>170</v>
      </c>
      <c r="G55" s="83" t="str">
        <f>IFERROR(__xludf.DUMMYFUNCTION("IFERROR(INDEX(IMPORTRANGE(""12PgU-zwv8gBrFfxvJpoPIPcxUHWup-vsxMH3HWUigZ8"",""💸 Expenses!A5:J200""),15,7),"""")"),"UPI")</f>
        <v>UPI</v>
      </c>
      <c r="H55" s="83" t="str">
        <f>IFERROR(__xludf.DUMMYFUNCTION("IFERROR(INDEX(IMPORTRANGE(""12PgU-zwv8gBrFfxvJpoPIPcxUHWup-vsxMH3HWUigZ8"",""💸 Expenses!A5:J200""),15,8),"""")"),"Suresh Velu")</f>
        <v>Suresh Velu</v>
      </c>
      <c r="I55" s="83" t="str">
        <f>IFERROR(__xludf.DUMMYFUNCTION("IFERROR(INDEX(IMPORTRANGE(""12PgU-zwv8gBrFfxvJpoPIPcxUHWup-vsxMH3HWUigZ8"",""💸 Expenses!A5:J200""),15,9),"""")"),"Sheet Work")</f>
        <v>Sheet Work</v>
      </c>
      <c r="J55" s="83" t="str">
        <f>IFERROR(__xludf.DUMMYFUNCTION("IFERROR(INDEX(IMPORTRANGE(""12PgU-zwv8gBrFfxvJpoPIPcxUHWup-vsxMH3HWUigZ8"",""💸 Expenses!A5:J200""),15,10),"""")"),"Temple Development")</f>
        <v>Temple Development</v>
      </c>
      <c r="K55" s="36"/>
      <c r="L55" s="36"/>
      <c r="M55" s="36"/>
      <c r="N55" s="36"/>
    </row>
    <row r="56" ht="18.0" customHeight="1">
      <c r="A56" s="54" t="str">
        <f>IFERROR(__xludf.DUMMYFUNCTION("IFERROR(INDEX(IMPORTRANGE(""12PgU-zwv8gBrFfxvJpoPIPcxUHWup-vsxMH3HWUigZ8"",""💸 Expenses!A5:J200""),16,1),"""")"),"2026/EX/16")</f>
        <v>2026/EX/16</v>
      </c>
      <c r="B56" s="85" t="str">
        <f>IFERROR(__xludf.DUMMYFUNCTION("IFERROR(IF(INDEX(IMPORTRANGE(""12PgU-zwv8gBrFfxvJpoPIPcxUHWup-vsxMH3HWUigZ8"",""💸 Expenses!A5:J200""),16,2)="""","""",TEXT(INDEX(IMPORTRANGE(""12PgU-zwv8gBrFfxvJpoPIPcxUHWup-vsxMH3HWUigZ8"",""💸 Expenses!A5:J200""),16,2),""DD-MM-YYYY"")),"""")"),"30-05-2026")</f>
        <v>30-05-2026</v>
      </c>
      <c r="C56" s="86" t="str">
        <f>IFERROR(__xludf.DUMMYFUNCTION("IFERROR(INDEX(IMPORTRANGE(""12PgU-zwv8gBrFfxvJpoPIPcxUHWup-vsxMH3HWUigZ8"",""💸 Expenses!A5:J200""),16,3),"""")"),"N.S. Bismi Traders")</f>
        <v>N.S. Bismi Traders</v>
      </c>
      <c r="D56" s="86" t="str">
        <f>IFERROR(__xludf.DUMMYFUNCTION("IFERROR(INDEX(IMPORTRANGE(""12PgU-zwv8gBrFfxvJpoPIPcxUHWup-vsxMH3HWUigZ8"",""💸 Expenses!A5:J200""),16,4),"""")"),"Metal material")</f>
        <v>Metal material</v>
      </c>
      <c r="E56" s="86" t="str">
        <f>IFERROR(__xludf.DUMMYFUNCTION("IFERROR(INDEX(IMPORTRANGE(""12PgU-zwv8gBrFfxvJpoPIPcxUHWup-vsxMH3HWUigZ8"",""💸 Expenses!A5:J200""),16,5),"""")"),"Materials")</f>
        <v>Materials</v>
      </c>
      <c r="F56" s="87">
        <f>IFERROR(__xludf.DUMMYFUNCTION("IFERROR(IFERROR(INDEX(IMPORTRANGE(""12PgU-zwv8gBrFfxvJpoPIPcxUHWup-vsxMH3HWUigZ8"",""💸 Expenses!A5:J200""),16,6)*1,0),0)"),61000.0)</f>
        <v>61000</v>
      </c>
      <c r="G56" s="86" t="str">
        <f>IFERROR(__xludf.DUMMYFUNCTION("IFERROR(INDEX(IMPORTRANGE(""12PgU-zwv8gBrFfxvJpoPIPcxUHWup-vsxMH3HWUigZ8"",""💸 Expenses!A5:J200""),16,7),"""")"),"UPI")</f>
        <v>UPI</v>
      </c>
      <c r="H56" s="86" t="str">
        <f>IFERROR(__xludf.DUMMYFUNCTION("IFERROR(INDEX(IMPORTRANGE(""12PgU-zwv8gBrFfxvJpoPIPcxUHWup-vsxMH3HWUigZ8"",""💸 Expenses!A5:J200""),16,8),"""")"),"Sunil Kumar")</f>
        <v>Sunil Kumar</v>
      </c>
      <c r="I56" s="86" t="str">
        <f>IFERROR(__xludf.DUMMYFUNCTION("IFERROR(INDEX(IMPORTRANGE(""12PgU-zwv8gBrFfxvJpoPIPcxUHWup-vsxMH3HWUigZ8"",""💸 Expenses!A5:J200""),16,9),"""")"),"Sheet Work")</f>
        <v>Sheet Work</v>
      </c>
      <c r="J56" s="86" t="str">
        <f>IFERROR(__xludf.DUMMYFUNCTION("IFERROR(INDEX(IMPORTRANGE(""12PgU-zwv8gBrFfxvJpoPIPcxUHWup-vsxMH3HWUigZ8"",""💸 Expenses!A5:J200""),16,10),"""")"),"Temple Development")</f>
        <v>Temple Development</v>
      </c>
      <c r="K56" s="37"/>
      <c r="L56" s="37"/>
      <c r="M56" s="37"/>
      <c r="N56" s="37"/>
    </row>
    <row r="57" ht="18.0" customHeight="1">
      <c r="A57" s="50" t="str">
        <f>IFERROR(__xludf.DUMMYFUNCTION("IFERROR(INDEX(IMPORTRANGE(""12PgU-zwv8gBrFfxvJpoPIPcxUHWup-vsxMH3HWUigZ8"",""💸 Expenses!A5:J200""),17,1),"""")"),"2026/EX/17")</f>
        <v>2026/EX/17</v>
      </c>
      <c r="B57" s="82" t="str">
        <f>IFERROR(__xludf.DUMMYFUNCTION("IFERROR(IF(INDEX(IMPORTRANGE(""12PgU-zwv8gBrFfxvJpoPIPcxUHWup-vsxMH3HWUigZ8"",""💸 Expenses!A5:J200""),17,2)="""","""",TEXT(INDEX(IMPORTRANGE(""12PgU-zwv8gBrFfxvJpoPIPcxUHWup-vsxMH3HWUigZ8"",""💸 Expenses!A5:J200""),17,2),""DD-MM-YYYY"")),"""")"),"30-05-2026")</f>
        <v>30-05-2026</v>
      </c>
      <c r="C57" s="83" t="str">
        <f>IFERROR(__xludf.DUMMYFUNCTION("IFERROR(INDEX(IMPORTRANGE(""12PgU-zwv8gBrFfxvJpoPIPcxUHWup-vsxMH3HWUigZ8"",""💸 Expenses!A5:J200""),17,3),"""")"),"Narayana")</f>
        <v>Narayana</v>
      </c>
      <c r="D57" s="83" t="str">
        <f>IFERROR(__xludf.DUMMYFUNCTION("IFERROR(INDEX(IMPORTRANGE(""12PgU-zwv8gBrFfxvJpoPIPcxUHWup-vsxMH3HWUigZ8"",""💸 Expenses!A5:J200""),17,4),"""")"),"Labour")</f>
        <v>Labour</v>
      </c>
      <c r="E57" s="83" t="str">
        <f>IFERROR(__xludf.DUMMYFUNCTION("IFERROR(INDEX(IMPORTRANGE(""12PgU-zwv8gBrFfxvJpoPIPcxUHWup-vsxMH3HWUigZ8"",""💸 Expenses!A5:J200""),17,5),"""")"),"Labour")</f>
        <v>Labour</v>
      </c>
      <c r="F57" s="84">
        <f>IFERROR(__xludf.DUMMYFUNCTION("IFERROR(IFERROR(INDEX(IMPORTRANGE(""12PgU-zwv8gBrFfxvJpoPIPcxUHWup-vsxMH3HWUigZ8"",""💸 Expenses!A5:J200""),17,6)*1,0),0)"),4000.0)</f>
        <v>4000</v>
      </c>
      <c r="G57" s="83" t="str">
        <f>IFERROR(__xludf.DUMMYFUNCTION("IFERROR(INDEX(IMPORTRANGE(""12PgU-zwv8gBrFfxvJpoPIPcxUHWup-vsxMH3HWUigZ8"",""💸 Expenses!A5:J200""),17,7),"""")"),"Cash")</f>
        <v>Cash</v>
      </c>
      <c r="H57" s="83" t="str">
        <f>IFERROR(__xludf.DUMMYFUNCTION("IFERROR(INDEX(IMPORTRANGE(""12PgU-zwv8gBrFfxvJpoPIPcxUHWup-vsxMH3HWUigZ8"",""💸 Expenses!A5:J200""),17,8),"""")"),"Sunil Kumar")</f>
        <v>Sunil Kumar</v>
      </c>
      <c r="I57" s="83" t="str">
        <f>IFERROR(__xludf.DUMMYFUNCTION("IFERROR(INDEX(IMPORTRANGE(""12PgU-zwv8gBrFfxvJpoPIPcxUHWup-vsxMH3HWUigZ8"",""💸 Expenses!A5:J200""),17,9),"""")"),"Sheet Work")</f>
        <v>Sheet Work</v>
      </c>
      <c r="J57" s="83" t="str">
        <f>IFERROR(__xludf.DUMMYFUNCTION("IFERROR(INDEX(IMPORTRANGE(""12PgU-zwv8gBrFfxvJpoPIPcxUHWup-vsxMH3HWUigZ8"",""💸 Expenses!A5:J200""),17,10),"""")"),"Temple Development")</f>
        <v>Temple Development</v>
      </c>
      <c r="K57" s="36"/>
      <c r="L57" s="36"/>
      <c r="M57" s="36"/>
      <c r="N57" s="36"/>
    </row>
    <row r="58" ht="18.0" customHeight="1">
      <c r="A58" s="54" t="str">
        <f>IFERROR(__xludf.DUMMYFUNCTION("IFERROR(INDEX(IMPORTRANGE(""12PgU-zwv8gBrFfxvJpoPIPcxUHWup-vsxMH3HWUigZ8"",""💸 Expenses!A5:J200""),18,1),"""")"),"2026/EX/18")</f>
        <v>2026/EX/18</v>
      </c>
      <c r="B58" s="85" t="str">
        <f>IFERROR(__xludf.DUMMYFUNCTION("IFERROR(IF(INDEX(IMPORTRANGE(""12PgU-zwv8gBrFfxvJpoPIPcxUHWup-vsxMH3HWUigZ8"",""💸 Expenses!A5:J200""),18,2)="""","""",TEXT(INDEX(IMPORTRANGE(""12PgU-zwv8gBrFfxvJpoPIPcxUHWup-vsxMH3HWUigZ8"",""💸 Expenses!A5:J200""),18,2),""DD-MM-YYYY"")),"""")"),"30-05-2026")</f>
        <v>30-05-2026</v>
      </c>
      <c r="C58" s="86" t="str">
        <f>IFERROR(__xludf.DUMMYFUNCTION("IFERROR(INDEX(IMPORTRANGE(""12PgU-zwv8gBrFfxvJpoPIPcxUHWup-vsxMH3HWUigZ8"",""💸 Expenses!A5:J200""),18,3),"""")"),"N.S. Bismi Traders")</f>
        <v>N.S. Bismi Traders</v>
      </c>
      <c r="D58" s="86" t="str">
        <f>IFERROR(__xludf.DUMMYFUNCTION("IFERROR(INDEX(IMPORTRANGE(""12PgU-zwv8gBrFfxvJpoPIPcxUHWup-vsxMH3HWUigZ8"",""💸 Expenses!A5:J200""),18,4),"""")"),"Tempo for metal material")</f>
        <v>Tempo for metal material</v>
      </c>
      <c r="E58" s="86" t="str">
        <f>IFERROR(__xludf.DUMMYFUNCTION("IFERROR(INDEX(IMPORTRANGE(""12PgU-zwv8gBrFfxvJpoPIPcxUHWup-vsxMH3HWUigZ8"",""💸 Expenses!A5:J200""),18,5),"""")"),"Transport")</f>
        <v>Transport</v>
      </c>
      <c r="F58" s="87">
        <f>IFERROR(__xludf.DUMMYFUNCTION("IFERROR(IFERROR(INDEX(IMPORTRANGE(""12PgU-zwv8gBrFfxvJpoPIPcxUHWup-vsxMH3HWUigZ8"",""💸 Expenses!A5:J200""),18,6)*1,0),0)"),1100.0)</f>
        <v>1100</v>
      </c>
      <c r="G58" s="86" t="str">
        <f>IFERROR(__xludf.DUMMYFUNCTION("IFERROR(INDEX(IMPORTRANGE(""12PgU-zwv8gBrFfxvJpoPIPcxUHWup-vsxMH3HWUigZ8"",""💸 Expenses!A5:J200""),18,7),"""")"),"Cash")</f>
        <v>Cash</v>
      </c>
      <c r="H58" s="86" t="str">
        <f>IFERROR(__xludf.DUMMYFUNCTION("IFERROR(INDEX(IMPORTRANGE(""12PgU-zwv8gBrFfxvJpoPIPcxUHWup-vsxMH3HWUigZ8"",""💸 Expenses!A5:J200""),18,8),"""")"),"Sunil Kumar")</f>
        <v>Sunil Kumar</v>
      </c>
      <c r="I58" s="86" t="str">
        <f>IFERROR(__xludf.DUMMYFUNCTION("IFERROR(INDEX(IMPORTRANGE(""12PgU-zwv8gBrFfxvJpoPIPcxUHWup-vsxMH3HWUigZ8"",""💸 Expenses!A5:J200""),18,9),"""")"),"Sheet Work")</f>
        <v>Sheet Work</v>
      </c>
      <c r="J58" s="86" t="str">
        <f>IFERROR(__xludf.DUMMYFUNCTION("IFERROR(INDEX(IMPORTRANGE(""12PgU-zwv8gBrFfxvJpoPIPcxUHWup-vsxMH3HWUigZ8"",""💸 Expenses!A5:J200""),18,10),"""")"),"Temple Development")</f>
        <v>Temple Development</v>
      </c>
      <c r="K58" s="37"/>
      <c r="L58" s="37"/>
      <c r="M58" s="37"/>
      <c r="N58" s="37"/>
    </row>
    <row r="59" ht="18.0" customHeight="1">
      <c r="A59" s="50" t="str">
        <f>IFERROR(__xludf.DUMMYFUNCTION("IFERROR(INDEX(IMPORTRANGE(""12PgU-zwv8gBrFfxvJpoPIPcxUHWup-vsxMH3HWUigZ8"",""💸 Expenses!A5:J200""),19,1),"""")"),"2026/EX/19")</f>
        <v>2026/EX/19</v>
      </c>
      <c r="B59" s="82" t="str">
        <f>IFERROR(__xludf.DUMMYFUNCTION("IFERROR(IF(INDEX(IMPORTRANGE(""12PgU-zwv8gBrFfxvJpoPIPcxUHWup-vsxMH3HWUigZ8"",""💸 Expenses!A5:J200""),19,2)="""","""",TEXT(INDEX(IMPORTRANGE(""12PgU-zwv8gBrFfxvJpoPIPcxUHWup-vsxMH3HWUigZ8"",""💸 Expenses!A5:J200""),19,2),""DD-MM-YYYY"")),"""")"),"31-05-2026")</f>
        <v>31-05-2026</v>
      </c>
      <c r="C59" s="83" t="str">
        <f>IFERROR(__xludf.DUMMYFUNCTION("IFERROR(INDEX(IMPORTRANGE(""12PgU-zwv8gBrFfxvJpoPIPcxUHWup-vsxMH3HWUigZ8"",""💸 Expenses!A5:J200""),19,3),"""")"),"N.S. Bismi Traders")</f>
        <v>N.S. Bismi Traders</v>
      </c>
      <c r="D59" s="83" t="str">
        <f>IFERROR(__xludf.DUMMYFUNCTION("IFERROR(INDEX(IMPORTRANGE(""12PgU-zwv8gBrFfxvJpoPIPcxUHWup-vsxMH3HWUigZ8"",""💸 Expenses!A5:J200""),19,4),"""")"),"Metal Material")</f>
        <v>Metal Material</v>
      </c>
      <c r="E59" s="83" t="str">
        <f>IFERROR(__xludf.DUMMYFUNCTION("IFERROR(INDEX(IMPORTRANGE(""12PgU-zwv8gBrFfxvJpoPIPcxUHWup-vsxMH3HWUigZ8"",""💸 Expenses!A5:J200""),19,5),"""")"),"Materials")</f>
        <v>Materials</v>
      </c>
      <c r="F59" s="84">
        <f>IFERROR(__xludf.DUMMYFUNCTION("IFERROR(IFERROR(INDEX(IMPORTRANGE(""12PgU-zwv8gBrFfxvJpoPIPcxUHWup-vsxMH3HWUigZ8"",""💸 Expenses!A5:J200""),19,6)*1,0),0)"),1300.0)</f>
        <v>1300</v>
      </c>
      <c r="G59" s="83" t="str">
        <f>IFERROR(__xludf.DUMMYFUNCTION("IFERROR(INDEX(IMPORTRANGE(""12PgU-zwv8gBrFfxvJpoPIPcxUHWup-vsxMH3HWUigZ8"",""💸 Expenses!A5:J200""),19,7),"""")"),"UPI")</f>
        <v>UPI</v>
      </c>
      <c r="H59" s="83" t="str">
        <f>IFERROR(__xludf.DUMMYFUNCTION("IFERROR(INDEX(IMPORTRANGE(""12PgU-zwv8gBrFfxvJpoPIPcxUHWup-vsxMH3HWUigZ8"",""💸 Expenses!A5:J200""),19,8),"""")"),"Sunil Kumar")</f>
        <v>Sunil Kumar</v>
      </c>
      <c r="I59" s="83" t="str">
        <f>IFERROR(__xludf.DUMMYFUNCTION("IFERROR(INDEX(IMPORTRANGE(""12PgU-zwv8gBrFfxvJpoPIPcxUHWup-vsxMH3HWUigZ8"",""💸 Expenses!A5:J200""),19,9),"""")"),"Sheet Work")</f>
        <v>Sheet Work</v>
      </c>
      <c r="J59" s="83" t="str">
        <f>IFERROR(__xludf.DUMMYFUNCTION("IFERROR(INDEX(IMPORTRANGE(""12PgU-zwv8gBrFfxvJpoPIPcxUHWup-vsxMH3HWUigZ8"",""💸 Expenses!A5:J200""),19,10),"""")"),"Temple Development")</f>
        <v>Temple Development</v>
      </c>
      <c r="K59" s="36"/>
      <c r="L59" s="36"/>
      <c r="M59" s="36"/>
      <c r="N59" s="36"/>
    </row>
    <row r="60" ht="18.0" customHeight="1">
      <c r="A60" s="54" t="str">
        <f>IFERROR(__xludf.DUMMYFUNCTION("IFERROR(INDEX(IMPORTRANGE(""12PgU-zwv8gBrFfxvJpoPIPcxUHWup-vsxMH3HWUigZ8"",""💸 Expenses!A5:J200""),20,1),"""")"),"2026/EX/20")</f>
        <v>2026/EX/20</v>
      </c>
      <c r="B60" s="85" t="str">
        <f>IFERROR(__xludf.DUMMYFUNCTION("IFERROR(IF(INDEX(IMPORTRANGE(""12PgU-zwv8gBrFfxvJpoPIPcxUHWup-vsxMH3HWUigZ8"",""💸 Expenses!A5:J200""),20,2)="""","""",TEXT(INDEX(IMPORTRANGE(""12PgU-zwv8gBrFfxvJpoPIPcxUHWup-vsxMH3HWUigZ8"",""💸 Expenses!A5:J200""),20,2),""DD-MM-YYYY"")),"""")"),"31-05-2026")</f>
        <v>31-05-2026</v>
      </c>
      <c r="C60" s="86" t="str">
        <f>IFERROR(__xludf.DUMMYFUNCTION("IFERROR(INDEX(IMPORTRANGE(""12PgU-zwv8gBrFfxvJpoPIPcxUHWup-vsxMH3HWUigZ8"",""💸 Expenses!A5:J200""),20,3),"""")"),"Bala Abhirami")</f>
        <v>Bala Abhirami</v>
      </c>
      <c r="D60" s="86" t="str">
        <f>IFERROR(__xludf.DUMMYFUNCTION("IFERROR(INDEX(IMPORTRANGE(""12PgU-zwv8gBrFfxvJpoPIPcxUHWup-vsxMH3HWUigZ8"",""💸 Expenses!A5:J200""),20,4),"""")"),"Thar Tape")</f>
        <v>Thar Tape</v>
      </c>
      <c r="E60" s="86" t="str">
        <f>IFERROR(__xludf.DUMMYFUNCTION("IFERROR(INDEX(IMPORTRANGE(""12PgU-zwv8gBrFfxvJpoPIPcxUHWup-vsxMH3HWUigZ8"",""💸 Expenses!A5:J200""),20,5),"""")"),"Materials")</f>
        <v>Materials</v>
      </c>
      <c r="F60" s="87">
        <f>IFERROR(__xludf.DUMMYFUNCTION("IFERROR(IFERROR(INDEX(IMPORTRANGE(""12PgU-zwv8gBrFfxvJpoPIPcxUHWup-vsxMH3HWUigZ8"",""💸 Expenses!A5:J200""),20,6)*1,0),0)"),650.0)</f>
        <v>650</v>
      </c>
      <c r="G60" s="86" t="str">
        <f>IFERROR(__xludf.DUMMYFUNCTION("IFERROR(INDEX(IMPORTRANGE(""12PgU-zwv8gBrFfxvJpoPIPcxUHWup-vsxMH3HWUigZ8"",""💸 Expenses!A5:J200""),20,7),"""")"),"UPI")</f>
        <v>UPI</v>
      </c>
      <c r="H60" s="86" t="str">
        <f>IFERROR(__xludf.DUMMYFUNCTION("IFERROR(INDEX(IMPORTRANGE(""12PgU-zwv8gBrFfxvJpoPIPcxUHWup-vsxMH3HWUigZ8"",""💸 Expenses!A5:J200""),20,8),"""")"),"Sunil Kumar")</f>
        <v>Sunil Kumar</v>
      </c>
      <c r="I60" s="86" t="str">
        <f>IFERROR(__xludf.DUMMYFUNCTION("IFERROR(INDEX(IMPORTRANGE(""12PgU-zwv8gBrFfxvJpoPIPcxUHWup-vsxMH3HWUigZ8"",""💸 Expenses!A5:J200""),20,9),"""")"),"Sheet Work")</f>
        <v>Sheet Work</v>
      </c>
      <c r="J60" s="86" t="str">
        <f>IFERROR(__xludf.DUMMYFUNCTION("IFERROR(INDEX(IMPORTRANGE(""12PgU-zwv8gBrFfxvJpoPIPcxUHWup-vsxMH3HWUigZ8"",""💸 Expenses!A5:J200""),20,10),"""")"),"Temple Development")</f>
        <v>Temple Development</v>
      </c>
      <c r="K60" s="37"/>
      <c r="L60" s="37"/>
      <c r="M60" s="37"/>
      <c r="N60" s="37"/>
    </row>
    <row r="61" ht="18.0" customHeight="1">
      <c r="A61" s="50" t="str">
        <f>IFERROR(__xludf.DUMMYFUNCTION("IFERROR(INDEX(IMPORTRANGE(""12PgU-zwv8gBrFfxvJpoPIPcxUHWup-vsxMH3HWUigZ8"",""💸 Expenses!A5:J200""),21,1),"""")"),"2026/EX/21")</f>
        <v>2026/EX/21</v>
      </c>
      <c r="B61" s="82" t="str">
        <f>IFERROR(__xludf.DUMMYFUNCTION("IFERROR(IF(INDEX(IMPORTRANGE(""12PgU-zwv8gBrFfxvJpoPIPcxUHWup-vsxMH3HWUigZ8"",""💸 Expenses!A5:J200""),21,2)="""","""",TEXT(INDEX(IMPORTRANGE(""12PgU-zwv8gBrFfxvJpoPIPcxUHWup-vsxMH3HWUigZ8"",""💸 Expenses!A5:J200""),21,2),""DD-MM-YYYY"")),"""")"),"31-05-2026")</f>
        <v>31-05-2026</v>
      </c>
      <c r="C61" s="83" t="str">
        <f>IFERROR(__xludf.DUMMYFUNCTION("IFERROR(INDEX(IMPORTRANGE(""12PgU-zwv8gBrFfxvJpoPIPcxUHWup-vsxMH3HWUigZ8"",""💸 Expenses!A5:J200""),21,3),"""")"),"Narayana")</f>
        <v>Narayana</v>
      </c>
      <c r="D61" s="83" t="str">
        <f>IFERROR(__xludf.DUMMYFUNCTION("IFERROR(INDEX(IMPORTRANGE(""12PgU-zwv8gBrFfxvJpoPIPcxUHWup-vsxMH3HWUigZ8"",""💸 Expenses!A5:J200""),21,4),"""")"),"Labour Lunch")</f>
        <v>Labour Lunch</v>
      </c>
      <c r="E61" s="83" t="str">
        <f>IFERROR(__xludf.DUMMYFUNCTION("IFERROR(INDEX(IMPORTRANGE(""12PgU-zwv8gBrFfxvJpoPIPcxUHWup-vsxMH3HWUigZ8"",""💸 Expenses!A5:J200""),21,5),"""")"),"Food")</f>
        <v>Food</v>
      </c>
      <c r="F61" s="84">
        <f>IFERROR(__xludf.DUMMYFUNCTION("IFERROR(IFERROR(INDEX(IMPORTRANGE(""12PgU-zwv8gBrFfxvJpoPIPcxUHWup-vsxMH3HWUigZ8"",""💸 Expenses!A5:J200""),21,6)*1,0),0)"),250.0)</f>
        <v>250</v>
      </c>
      <c r="G61" s="83" t="str">
        <f>IFERROR(__xludf.DUMMYFUNCTION("IFERROR(INDEX(IMPORTRANGE(""12PgU-zwv8gBrFfxvJpoPIPcxUHWup-vsxMH3HWUigZ8"",""💸 Expenses!A5:J200""),21,7),"""")"),"UPI")</f>
        <v>UPI</v>
      </c>
      <c r="H61" s="83" t="str">
        <f>IFERROR(__xludf.DUMMYFUNCTION("IFERROR(INDEX(IMPORTRANGE(""12PgU-zwv8gBrFfxvJpoPIPcxUHWup-vsxMH3HWUigZ8"",""💸 Expenses!A5:J200""),21,8),"""")"),"Suresh Velu")</f>
        <v>Suresh Velu</v>
      </c>
      <c r="I61" s="83" t="str">
        <f>IFERROR(__xludf.DUMMYFUNCTION("IFERROR(INDEX(IMPORTRANGE(""12PgU-zwv8gBrFfxvJpoPIPcxUHWup-vsxMH3HWUigZ8"",""💸 Expenses!A5:J200""),21,9),"""")"),"Sheet Work")</f>
        <v>Sheet Work</v>
      </c>
      <c r="J61" s="83" t="str">
        <f>IFERROR(__xludf.DUMMYFUNCTION("IFERROR(INDEX(IMPORTRANGE(""12PgU-zwv8gBrFfxvJpoPIPcxUHWup-vsxMH3HWUigZ8"",""💸 Expenses!A5:J200""),21,10),"""")"),"Temple Development")</f>
        <v>Temple Development</v>
      </c>
      <c r="K61" s="36"/>
      <c r="L61" s="36"/>
      <c r="M61" s="36"/>
      <c r="N61" s="36"/>
    </row>
    <row r="62" ht="18.0" customHeight="1">
      <c r="A62" s="54" t="str">
        <f>IFERROR(__xludf.DUMMYFUNCTION("IFERROR(INDEX(IMPORTRANGE(""12PgU-zwv8gBrFfxvJpoPIPcxUHWup-vsxMH3HWUigZ8"",""💸 Expenses!A5:J200""),22,1),"""")"),"2026/EX/22")</f>
        <v>2026/EX/22</v>
      </c>
      <c r="B62" s="85" t="str">
        <f>IFERROR(__xludf.DUMMYFUNCTION("IFERROR(IF(INDEX(IMPORTRANGE(""12PgU-zwv8gBrFfxvJpoPIPcxUHWup-vsxMH3HWUigZ8"",""💸 Expenses!A5:J200""),22,2)="""","""",TEXT(INDEX(IMPORTRANGE(""12PgU-zwv8gBrFfxvJpoPIPcxUHWup-vsxMH3HWUigZ8"",""💸 Expenses!A5:J200""),22,2),""DD-MM-YYYY"")),"""")"),"31-05-2026")</f>
        <v>31-05-2026</v>
      </c>
      <c r="C62" s="86" t="str">
        <f>IFERROR(__xludf.DUMMYFUNCTION("IFERROR(INDEX(IMPORTRANGE(""12PgU-zwv8gBrFfxvJpoPIPcxUHWup-vsxMH3HWUigZ8"",""💸 Expenses!A5:J200""),22,3),"""")"),"Narayana")</f>
        <v>Narayana</v>
      </c>
      <c r="D62" s="86" t="str">
        <f>IFERROR(__xludf.DUMMYFUNCTION("IFERROR(INDEX(IMPORTRANGE(""12PgU-zwv8gBrFfxvJpoPIPcxUHWup-vsxMH3HWUigZ8"",""💸 Expenses!A5:J200""),22,4),"""")"),"Labour")</f>
        <v>Labour</v>
      </c>
      <c r="E62" s="86" t="str">
        <f>IFERROR(__xludf.DUMMYFUNCTION("IFERROR(INDEX(IMPORTRANGE(""12PgU-zwv8gBrFfxvJpoPIPcxUHWup-vsxMH3HWUigZ8"",""💸 Expenses!A5:J200""),22,5),"""")"),"Labour")</f>
        <v>Labour</v>
      </c>
      <c r="F62" s="87">
        <f>IFERROR(__xludf.DUMMYFUNCTION("IFERROR(IFERROR(INDEX(IMPORTRANGE(""12PgU-zwv8gBrFfxvJpoPIPcxUHWup-vsxMH3HWUigZ8"",""💸 Expenses!A5:J200""),22,6)*1,0),0)"),6000.0)</f>
        <v>6000</v>
      </c>
      <c r="G62" s="86" t="str">
        <f>IFERROR(__xludf.DUMMYFUNCTION("IFERROR(INDEX(IMPORTRANGE(""12PgU-zwv8gBrFfxvJpoPIPcxUHWup-vsxMH3HWUigZ8"",""💸 Expenses!A5:J200""),22,7),"""")"),"Cash")</f>
        <v>Cash</v>
      </c>
      <c r="H62" s="86" t="str">
        <f>IFERROR(__xludf.DUMMYFUNCTION("IFERROR(INDEX(IMPORTRANGE(""12PgU-zwv8gBrFfxvJpoPIPcxUHWup-vsxMH3HWUigZ8"",""💸 Expenses!A5:J200""),22,8),"""")"),"Sunil Kumar")</f>
        <v>Sunil Kumar</v>
      </c>
      <c r="I62" s="86" t="str">
        <f>IFERROR(__xludf.DUMMYFUNCTION("IFERROR(INDEX(IMPORTRANGE(""12PgU-zwv8gBrFfxvJpoPIPcxUHWup-vsxMH3HWUigZ8"",""💸 Expenses!A5:J200""),22,9),"""")"),"Sheet Work")</f>
        <v>Sheet Work</v>
      </c>
      <c r="J62" s="86" t="str">
        <f>IFERROR(__xludf.DUMMYFUNCTION("IFERROR(INDEX(IMPORTRANGE(""12PgU-zwv8gBrFfxvJpoPIPcxUHWup-vsxMH3HWUigZ8"",""💸 Expenses!A5:J200""),22,10),"""")"),"Temple Development")</f>
        <v>Temple Development</v>
      </c>
      <c r="K62" s="37"/>
      <c r="L62" s="37"/>
      <c r="M62" s="37"/>
      <c r="N62" s="37"/>
    </row>
    <row r="63" ht="18.0" customHeight="1">
      <c r="A63" s="50" t="str">
        <f>IFERROR(__xludf.DUMMYFUNCTION("IFERROR(INDEX(IMPORTRANGE(""12PgU-zwv8gBrFfxvJpoPIPcxUHWup-vsxMH3HWUigZ8"",""💸 Expenses!A5:J200""),23,1),"""")"),"2026/EX/23")</f>
        <v>2026/EX/23</v>
      </c>
      <c r="B63" s="82" t="str">
        <f>IFERROR(__xludf.DUMMYFUNCTION("IFERROR(IF(INDEX(IMPORTRANGE(""12PgU-zwv8gBrFfxvJpoPIPcxUHWup-vsxMH3HWUigZ8"",""💸 Expenses!A5:J200""),23,2)="""","""",TEXT(INDEX(IMPORTRANGE(""12PgU-zwv8gBrFfxvJpoPIPcxUHWup-vsxMH3HWUigZ8"",""💸 Expenses!A5:J200""),23,2),""DD-MM-YYYY"")),"""")"),"31-05-2026")</f>
        <v>31-05-2026</v>
      </c>
      <c r="C63" s="83" t="str">
        <f>IFERROR(__xludf.DUMMYFUNCTION("IFERROR(INDEX(IMPORTRANGE(""12PgU-zwv8gBrFfxvJpoPIPcxUHWup-vsxMH3HWUigZ8"",""💸 Expenses!A5:J200""),23,3),"""")"),"Kumar")</f>
        <v>Kumar</v>
      </c>
      <c r="D63" s="83" t="str">
        <f>IFERROR(__xludf.DUMMYFUNCTION("IFERROR(INDEX(IMPORTRANGE(""12PgU-zwv8gBrFfxvJpoPIPcxUHWup-vsxMH3HWUigZ8"",""💸 Expenses!A5:J200""),23,4),"""")"),"Petrol expenses")</f>
        <v>Petrol expenses</v>
      </c>
      <c r="E63" s="83" t="str">
        <f>IFERROR(__xludf.DUMMYFUNCTION("IFERROR(INDEX(IMPORTRANGE(""12PgU-zwv8gBrFfxvJpoPIPcxUHWup-vsxMH3HWUigZ8"",""💸 Expenses!A5:J200""),23,5),"""")"),"Miscellaneous")</f>
        <v>Miscellaneous</v>
      </c>
      <c r="F63" s="84">
        <f>IFERROR(__xludf.DUMMYFUNCTION("IFERROR(IFERROR(INDEX(IMPORTRANGE(""12PgU-zwv8gBrFfxvJpoPIPcxUHWup-vsxMH3HWUigZ8"",""💸 Expenses!A5:J200""),23,6)*1,0),0)"),400.0)</f>
        <v>400</v>
      </c>
      <c r="G63" s="83" t="str">
        <f>IFERROR(__xludf.DUMMYFUNCTION("IFERROR(INDEX(IMPORTRANGE(""12PgU-zwv8gBrFfxvJpoPIPcxUHWup-vsxMH3HWUigZ8"",""💸 Expenses!A5:J200""),23,7),"""")"),"Cash")</f>
        <v>Cash</v>
      </c>
      <c r="H63" s="83" t="str">
        <f>IFERROR(__xludf.DUMMYFUNCTION("IFERROR(INDEX(IMPORTRANGE(""12PgU-zwv8gBrFfxvJpoPIPcxUHWup-vsxMH3HWUigZ8"",""💸 Expenses!A5:J200""),23,8),"""")"),"Sunil Kumar")</f>
        <v>Sunil Kumar</v>
      </c>
      <c r="I63" s="83" t="str">
        <f>IFERROR(__xludf.DUMMYFUNCTION("IFERROR(INDEX(IMPORTRANGE(""12PgU-zwv8gBrFfxvJpoPIPcxUHWup-vsxMH3HWUigZ8"",""💸 Expenses!A5:J200""),23,9),"""")"),"Sheet Work")</f>
        <v>Sheet Work</v>
      </c>
      <c r="J63" s="83" t="str">
        <f>IFERROR(__xludf.DUMMYFUNCTION("IFERROR(INDEX(IMPORTRANGE(""12PgU-zwv8gBrFfxvJpoPIPcxUHWup-vsxMH3HWUigZ8"",""💸 Expenses!A5:J200""),23,10),"""")"),"Temple Development")</f>
        <v>Temple Development</v>
      </c>
      <c r="K63" s="36"/>
      <c r="L63" s="36"/>
      <c r="M63" s="36"/>
      <c r="N63" s="36"/>
    </row>
    <row r="64" ht="18.0" customHeight="1">
      <c r="A64" s="54" t="str">
        <f>IFERROR(__xludf.DUMMYFUNCTION("IFERROR(INDEX(IMPORTRANGE(""12PgU-zwv8gBrFfxvJpoPIPcxUHWup-vsxMH3HWUigZ8"",""💸 Expenses!A5:J200""),24,1),"""")"),"2026/EX/24")</f>
        <v>2026/EX/24</v>
      </c>
      <c r="B64" s="85" t="str">
        <f>IFERROR(__xludf.DUMMYFUNCTION("IFERROR(IF(INDEX(IMPORTRANGE(""12PgU-zwv8gBrFfxvJpoPIPcxUHWup-vsxMH3HWUigZ8"",""💸 Expenses!A5:J200""),24,2)="""","""",TEXT(INDEX(IMPORTRANGE(""12PgU-zwv8gBrFfxvJpoPIPcxUHWup-vsxMH3HWUigZ8"",""💸 Expenses!A5:J200""),24,2),""DD-MM-YYYY"")),"""")"),"02-06-2026")</f>
        <v>02-06-2026</v>
      </c>
      <c r="C64" s="86" t="str">
        <f>IFERROR(__xludf.DUMMYFUNCTION("IFERROR(INDEX(IMPORTRANGE(""12PgU-zwv8gBrFfxvJpoPIPcxUHWup-vsxMH3HWUigZ8"",""💸 Expenses!A5:J200""),24,3),"""")"),"Kumar")</f>
        <v>Kumar</v>
      </c>
      <c r="D64" s="86" t="str">
        <f>IFERROR(__xludf.DUMMYFUNCTION("IFERROR(INDEX(IMPORTRANGE(""12PgU-zwv8gBrFfxvJpoPIPcxUHWup-vsxMH3HWUigZ8"",""💸 Expenses!A5:J200""),24,4),"""")"),"Food")</f>
        <v>Food</v>
      </c>
      <c r="E64" s="86" t="str">
        <f>IFERROR(__xludf.DUMMYFUNCTION("IFERROR(INDEX(IMPORTRANGE(""12PgU-zwv8gBrFfxvJpoPIPcxUHWup-vsxMH3HWUigZ8"",""💸 Expenses!A5:J200""),24,5),"""")"),"Food")</f>
        <v>Food</v>
      </c>
      <c r="F64" s="87">
        <f>IFERROR(__xludf.DUMMYFUNCTION("IFERROR(IFERROR(INDEX(IMPORTRANGE(""12PgU-zwv8gBrFfxvJpoPIPcxUHWup-vsxMH3HWUigZ8"",""💸 Expenses!A5:J200""),24,6)*1,0),0)"),500.0)</f>
        <v>500</v>
      </c>
      <c r="G64" s="86" t="str">
        <f>IFERROR(__xludf.DUMMYFUNCTION("IFERROR(INDEX(IMPORTRANGE(""12PgU-zwv8gBrFfxvJpoPIPcxUHWup-vsxMH3HWUigZ8"",""💸 Expenses!A5:J200""),24,7),"""")"),"UPI")</f>
        <v>UPI</v>
      </c>
      <c r="H64" s="86" t="str">
        <f>IFERROR(__xludf.DUMMYFUNCTION("IFERROR(INDEX(IMPORTRANGE(""12PgU-zwv8gBrFfxvJpoPIPcxUHWup-vsxMH3HWUigZ8"",""💸 Expenses!A5:J200""),24,8),"""")"),"Sunil Kumar")</f>
        <v>Sunil Kumar</v>
      </c>
      <c r="I64" s="86" t="str">
        <f>IFERROR(__xludf.DUMMYFUNCTION("IFERROR(INDEX(IMPORTRANGE(""12PgU-zwv8gBrFfxvJpoPIPcxUHWup-vsxMH3HWUigZ8"",""💸 Expenses!A5:J200""),24,9),"""")"),"Sheet Work")</f>
        <v>Sheet Work</v>
      </c>
      <c r="J64" s="86" t="str">
        <f>IFERROR(__xludf.DUMMYFUNCTION("IFERROR(INDEX(IMPORTRANGE(""12PgU-zwv8gBrFfxvJpoPIPcxUHWup-vsxMH3HWUigZ8"",""💸 Expenses!A5:J200""),24,10),"""")"),"Temple Development")</f>
        <v>Temple Development</v>
      </c>
      <c r="K64" s="37"/>
      <c r="L64" s="37"/>
      <c r="M64" s="37"/>
      <c r="N64" s="37"/>
    </row>
    <row r="65" ht="18.0" customHeight="1">
      <c r="A65" s="50" t="str">
        <f>IFERROR(__xludf.DUMMYFUNCTION("IFERROR(INDEX(IMPORTRANGE(""12PgU-zwv8gBrFfxvJpoPIPcxUHWup-vsxMH3HWUigZ8"",""💸 Expenses!A5:J200""),25,1),"""")"),"2026/EX/25")</f>
        <v>2026/EX/25</v>
      </c>
      <c r="B65" s="82" t="str">
        <f>IFERROR(__xludf.DUMMYFUNCTION("IFERROR(IF(INDEX(IMPORTRANGE(""12PgU-zwv8gBrFfxvJpoPIPcxUHWup-vsxMH3HWUigZ8"",""💸 Expenses!A5:J200""),25,2)="""","""",TEXT(INDEX(IMPORTRANGE(""12PgU-zwv8gBrFfxvJpoPIPcxUHWup-vsxMH3HWUigZ8"",""💸 Expenses!A5:J200""),25,2),""DD-MM-YYYY"")),"""")"),"02-06-2026")</f>
        <v>02-06-2026</v>
      </c>
      <c r="C65" s="83" t="str">
        <f>IFERROR(__xludf.DUMMYFUNCTION("IFERROR(INDEX(IMPORTRANGE(""12PgU-zwv8gBrFfxvJpoPIPcxUHWup-vsxMH3HWUigZ8"",""💸 Expenses!A5:J200""),25,3),"""")"),"N.S. Bismi Traders")</f>
        <v>N.S. Bismi Traders</v>
      </c>
      <c r="D65" s="83" t="str">
        <f>IFERROR(__xludf.DUMMYFUNCTION("IFERROR(INDEX(IMPORTRANGE(""12PgU-zwv8gBrFfxvJpoPIPcxUHWup-vsxMH3HWUigZ8"",""💸 Expenses!A5:J200""),25,4),"""")"),"Additional Screws")</f>
        <v>Additional Screws</v>
      </c>
      <c r="E65" s="83" t="str">
        <f>IFERROR(__xludf.DUMMYFUNCTION("IFERROR(INDEX(IMPORTRANGE(""12PgU-zwv8gBrFfxvJpoPIPcxUHWup-vsxMH3HWUigZ8"",""💸 Expenses!A5:J200""),25,5),"""")"),"Materials")</f>
        <v>Materials</v>
      </c>
      <c r="F65" s="84">
        <f>IFERROR(__xludf.DUMMYFUNCTION("IFERROR(IFERROR(INDEX(IMPORTRANGE(""12PgU-zwv8gBrFfxvJpoPIPcxUHWup-vsxMH3HWUigZ8"",""💸 Expenses!A5:J200""),25,6)*1,0),0)"),450.0)</f>
        <v>450</v>
      </c>
      <c r="G65" s="83" t="str">
        <f>IFERROR(__xludf.DUMMYFUNCTION("IFERROR(INDEX(IMPORTRANGE(""12PgU-zwv8gBrFfxvJpoPIPcxUHWup-vsxMH3HWUigZ8"",""💸 Expenses!A5:J200""),25,7),"""")"),"UPI")</f>
        <v>UPI</v>
      </c>
      <c r="H65" s="83" t="str">
        <f>IFERROR(__xludf.DUMMYFUNCTION("IFERROR(INDEX(IMPORTRANGE(""12PgU-zwv8gBrFfxvJpoPIPcxUHWup-vsxMH3HWUigZ8"",""💸 Expenses!A5:J200""),25,8),"""")"),"Sunil Kumar")</f>
        <v>Sunil Kumar</v>
      </c>
      <c r="I65" s="83" t="str">
        <f>IFERROR(__xludf.DUMMYFUNCTION("IFERROR(INDEX(IMPORTRANGE(""12PgU-zwv8gBrFfxvJpoPIPcxUHWup-vsxMH3HWUigZ8"",""💸 Expenses!A5:J200""),25,9),"""")"),"Sheet Work")</f>
        <v>Sheet Work</v>
      </c>
      <c r="J65" s="83" t="str">
        <f>IFERROR(__xludf.DUMMYFUNCTION("IFERROR(INDEX(IMPORTRANGE(""12PgU-zwv8gBrFfxvJpoPIPcxUHWup-vsxMH3HWUigZ8"",""💸 Expenses!A5:J200""),25,10),"""")"),"Temple Development")</f>
        <v>Temple Development</v>
      </c>
      <c r="K65" s="36"/>
      <c r="L65" s="36"/>
      <c r="M65" s="36"/>
      <c r="N65" s="36"/>
    </row>
    <row r="66" ht="18.0" customHeight="1">
      <c r="A66" s="54" t="str">
        <f>IFERROR(__xludf.DUMMYFUNCTION("IFERROR(INDEX(IMPORTRANGE(""12PgU-zwv8gBrFfxvJpoPIPcxUHWup-vsxMH3HWUigZ8"",""💸 Expenses!A5:J200""),26,1),"""")"),"2026/EX/26")</f>
        <v>2026/EX/26</v>
      </c>
      <c r="B66" s="85" t="str">
        <f>IFERROR(__xludf.DUMMYFUNCTION("IFERROR(IF(INDEX(IMPORTRANGE(""12PgU-zwv8gBrFfxvJpoPIPcxUHWup-vsxMH3HWUigZ8"",""💸 Expenses!A5:J200""),26,2)="""","""",TEXT(INDEX(IMPORTRANGE(""12PgU-zwv8gBrFfxvJpoPIPcxUHWup-vsxMH3HWUigZ8"",""💸 Expenses!A5:J200""),26,2),""DD-MM-YYYY"")),"""")"),"02-06-2026")</f>
        <v>02-06-2026</v>
      </c>
      <c r="C66" s="86" t="str">
        <f>IFERROR(__xludf.DUMMYFUNCTION("IFERROR(INDEX(IMPORTRANGE(""12PgU-zwv8gBrFfxvJpoPIPcxUHWup-vsxMH3HWUigZ8"",""💸 Expenses!A5:J200""),26,3),"""")"),"Kumar")</f>
        <v>Kumar</v>
      </c>
      <c r="D66" s="86" t="str">
        <f>IFERROR(__xludf.DUMMYFUNCTION("IFERROR(INDEX(IMPORTRANGE(""12PgU-zwv8gBrFfxvJpoPIPcxUHWup-vsxMH3HWUigZ8"",""💸 Expenses!A5:J200""),26,4),"""")"),"Cement and Msand")</f>
        <v>Cement and Msand</v>
      </c>
      <c r="E66" s="86" t="str">
        <f>IFERROR(__xludf.DUMMYFUNCTION("IFERROR(INDEX(IMPORTRANGE(""12PgU-zwv8gBrFfxvJpoPIPcxUHWup-vsxMH3HWUigZ8"",""💸 Expenses!A5:J200""),26,5),"""")"),"Materials")</f>
        <v>Materials</v>
      </c>
      <c r="F66" s="87">
        <f>IFERROR(__xludf.DUMMYFUNCTION("IFERROR(IFERROR(INDEX(IMPORTRANGE(""12PgU-zwv8gBrFfxvJpoPIPcxUHWup-vsxMH3HWUigZ8"",""💸 Expenses!A5:J200""),26,6)*1,0),0)"),450.0)</f>
        <v>450</v>
      </c>
      <c r="G66" s="86" t="str">
        <f>IFERROR(__xludf.DUMMYFUNCTION("IFERROR(INDEX(IMPORTRANGE(""12PgU-zwv8gBrFfxvJpoPIPcxUHWup-vsxMH3HWUigZ8"",""💸 Expenses!A5:J200""),26,7),"""")"),"UPI")</f>
        <v>UPI</v>
      </c>
      <c r="H66" s="86" t="str">
        <f>IFERROR(__xludf.DUMMYFUNCTION("IFERROR(INDEX(IMPORTRANGE(""12PgU-zwv8gBrFfxvJpoPIPcxUHWup-vsxMH3HWUigZ8"",""💸 Expenses!A5:J200""),26,8),"""")"),"Sunil Kumar")</f>
        <v>Sunil Kumar</v>
      </c>
      <c r="I66" s="86" t="str">
        <f>IFERROR(__xludf.DUMMYFUNCTION("IFERROR(INDEX(IMPORTRANGE(""12PgU-zwv8gBrFfxvJpoPIPcxUHWup-vsxMH3HWUigZ8"",""💸 Expenses!A5:J200""),26,9),"""")"),"Sheet Work")</f>
        <v>Sheet Work</v>
      </c>
      <c r="J66" s="86" t="str">
        <f>IFERROR(__xludf.DUMMYFUNCTION("IFERROR(INDEX(IMPORTRANGE(""12PgU-zwv8gBrFfxvJpoPIPcxUHWup-vsxMH3HWUigZ8"",""💸 Expenses!A5:J200""),26,10),"""")"),"Temple Development")</f>
        <v>Temple Development</v>
      </c>
      <c r="K66" s="37"/>
      <c r="L66" s="37"/>
      <c r="M66" s="37"/>
      <c r="N66" s="37"/>
    </row>
    <row r="67" ht="18.0" customHeight="1">
      <c r="A67" s="50" t="str">
        <f>IFERROR(__xludf.DUMMYFUNCTION("IFERROR(INDEX(IMPORTRANGE(""12PgU-zwv8gBrFfxvJpoPIPcxUHWup-vsxMH3HWUigZ8"",""💸 Expenses!A5:J200""),27,1),"""")"),"2026/EX/27")</f>
        <v>2026/EX/27</v>
      </c>
      <c r="B67" s="82" t="str">
        <f>IFERROR(__xludf.DUMMYFUNCTION("IFERROR(IF(INDEX(IMPORTRANGE(""12PgU-zwv8gBrFfxvJpoPIPcxUHWup-vsxMH3HWUigZ8"",""💸 Expenses!A5:J200""),27,2)="""","""",TEXT(INDEX(IMPORTRANGE(""12PgU-zwv8gBrFfxvJpoPIPcxUHWup-vsxMH3HWUigZ8"",""💸 Expenses!A5:J200""),27,2),""DD-MM-YYYY"")),"""")"),"06-06-2026")</f>
        <v>06-06-2026</v>
      </c>
      <c r="C67" s="83" t="str">
        <f>IFERROR(__xludf.DUMMYFUNCTION("IFERROR(INDEX(IMPORTRANGE(""12PgU-zwv8gBrFfxvJpoPIPcxUHWup-vsxMH3HWUigZ8"",""💸 Expenses!A5:J200""),27,3),"""")"),"Dharmalingam")</f>
        <v>Dharmalingam</v>
      </c>
      <c r="D67" s="83" t="str">
        <f>IFERROR(__xludf.DUMMYFUNCTION("IFERROR(INDEX(IMPORTRANGE(""12PgU-zwv8gBrFfxvJpoPIPcxUHWup-vsxMH3HWUigZ8"",""💸 Expenses!A5:J200""),27,4),"""")"),"Pooja Items - Advance")</f>
        <v>Pooja Items - Advance</v>
      </c>
      <c r="E67" s="83" t="str">
        <f>IFERROR(__xludf.DUMMYFUNCTION("IFERROR(INDEX(IMPORTRANGE(""12PgU-zwv8gBrFfxvJpoPIPcxUHWup-vsxMH3HWUigZ8"",""💸 Expenses!A5:J200""),27,5),"""")"),"Puja &amp; Rituals")</f>
        <v>Puja &amp; Rituals</v>
      </c>
      <c r="F67" s="84">
        <f>IFERROR(__xludf.DUMMYFUNCTION("IFERROR(IFERROR(INDEX(IMPORTRANGE(""12PgU-zwv8gBrFfxvJpoPIPcxUHWup-vsxMH3HWUigZ8"",""💸 Expenses!A5:J200""),27,6)*1,0),0)"),9500.0)</f>
        <v>9500</v>
      </c>
      <c r="G67" s="83" t="str">
        <f>IFERROR(__xludf.DUMMYFUNCTION("IFERROR(INDEX(IMPORTRANGE(""12PgU-zwv8gBrFfxvJpoPIPcxUHWup-vsxMH3HWUigZ8"",""💸 Expenses!A5:J200""),27,7),"""")"),"Cash")</f>
        <v>Cash</v>
      </c>
      <c r="H67" s="83" t="str">
        <f>IFERROR(__xludf.DUMMYFUNCTION("IFERROR(INDEX(IMPORTRANGE(""12PgU-zwv8gBrFfxvJpoPIPcxUHWup-vsxMH3HWUigZ8"",""💸 Expenses!A5:J200""),27,8),"""")"),"Sunil Kumar")</f>
        <v>Sunil Kumar</v>
      </c>
      <c r="I67" s="83" t="str">
        <f>IFERROR(__xludf.DUMMYFUNCTION("IFERROR(INDEX(IMPORTRANGE(""12PgU-zwv8gBrFfxvJpoPIPcxUHWup-vsxMH3HWUigZ8"",""💸 Expenses!A5:J200""),27,9),"""")"),"")</f>
        <v/>
      </c>
      <c r="J67" s="83" t="str">
        <f>IFERROR(__xludf.DUMMYFUNCTION("IFERROR(INDEX(IMPORTRANGE(""12PgU-zwv8gBrFfxvJpoPIPcxUHWup-vsxMH3HWUigZ8"",""💸 Expenses!A5:J200""),27,10),"""")"),"Aadi Festival")</f>
        <v>Aadi Festival</v>
      </c>
      <c r="K67" s="36"/>
      <c r="L67" s="36"/>
      <c r="M67" s="36"/>
      <c r="N67" s="36"/>
    </row>
    <row r="68" ht="18.0" customHeight="1">
      <c r="A68" s="54" t="str">
        <f>IFERROR(__xludf.DUMMYFUNCTION("IFERROR(INDEX(IMPORTRANGE(""12PgU-zwv8gBrFfxvJpoPIPcxUHWup-vsxMH3HWUigZ8"",""💸 Expenses!A5:J200""),28,1),"""")"),"")</f>
        <v/>
      </c>
      <c r="B68" s="85" t="str">
        <f>IFERROR(__xludf.DUMMYFUNCTION("IFERROR(IF(INDEX(IMPORTRANGE(""12PgU-zwv8gBrFfxvJpoPIPcxUHWup-vsxMH3HWUigZ8"",""💸 Expenses!A5:J200""),28,2)="""","""",TEXT(INDEX(IMPORTRANGE(""12PgU-zwv8gBrFfxvJpoPIPcxUHWup-vsxMH3HWUigZ8"",""💸 Expenses!A5:J200""),28,2),""DD-MM-YYYY"")),"""")"),"")</f>
        <v/>
      </c>
      <c r="C68" s="86" t="str">
        <f>IFERROR(__xludf.DUMMYFUNCTION("IFERROR(INDEX(IMPORTRANGE(""12PgU-zwv8gBrFfxvJpoPIPcxUHWup-vsxMH3HWUigZ8"",""💸 Expenses!A5:J200""),28,3),"""")"),"")</f>
        <v/>
      </c>
      <c r="D68" s="86" t="str">
        <f>IFERROR(__xludf.DUMMYFUNCTION("IFERROR(INDEX(IMPORTRANGE(""12PgU-zwv8gBrFfxvJpoPIPcxUHWup-vsxMH3HWUigZ8"",""💸 Expenses!A5:J200""),28,4),"""")"),"")</f>
        <v/>
      </c>
      <c r="E68" s="86" t="str">
        <f>IFERROR(__xludf.DUMMYFUNCTION("IFERROR(INDEX(IMPORTRANGE(""12PgU-zwv8gBrFfxvJpoPIPcxUHWup-vsxMH3HWUigZ8"",""💸 Expenses!A5:J200""),28,5),"""")"),"")</f>
        <v/>
      </c>
      <c r="F68" s="87">
        <f>IFERROR(__xludf.DUMMYFUNCTION("IFERROR(IFERROR(INDEX(IMPORTRANGE(""12PgU-zwv8gBrFfxvJpoPIPcxUHWup-vsxMH3HWUigZ8"",""💸 Expenses!A5:J200""),28,6)*1,0),0)"),0.0)</f>
        <v>0</v>
      </c>
      <c r="G68" s="86" t="str">
        <f>IFERROR(__xludf.DUMMYFUNCTION("IFERROR(INDEX(IMPORTRANGE(""12PgU-zwv8gBrFfxvJpoPIPcxUHWup-vsxMH3HWUigZ8"",""💸 Expenses!A5:J200""),28,7),"""")"),"")</f>
        <v/>
      </c>
      <c r="H68" s="86" t="str">
        <f>IFERROR(__xludf.DUMMYFUNCTION("IFERROR(INDEX(IMPORTRANGE(""12PgU-zwv8gBrFfxvJpoPIPcxUHWup-vsxMH3HWUigZ8"",""💸 Expenses!A5:J200""),28,8),"""")"),"")</f>
        <v/>
      </c>
      <c r="I68" s="86" t="str">
        <f>IFERROR(__xludf.DUMMYFUNCTION("IFERROR(INDEX(IMPORTRANGE(""12PgU-zwv8gBrFfxvJpoPIPcxUHWup-vsxMH3HWUigZ8"",""💸 Expenses!A5:J200""),28,9),"""")"),"")</f>
        <v/>
      </c>
      <c r="J68" s="86" t="str">
        <f>IFERROR(__xludf.DUMMYFUNCTION("IFERROR(INDEX(IMPORTRANGE(""12PgU-zwv8gBrFfxvJpoPIPcxUHWup-vsxMH3HWUigZ8"",""💸 Expenses!A5:J200""),28,10),"""")"),"")</f>
        <v/>
      </c>
      <c r="K68" s="37"/>
      <c r="L68" s="37"/>
      <c r="M68" s="37"/>
      <c r="N68" s="37"/>
    </row>
    <row r="69" ht="18.0" customHeight="1">
      <c r="A69" s="50" t="str">
        <f>IFERROR(__xludf.DUMMYFUNCTION("IFERROR(INDEX(IMPORTRANGE(""12PgU-zwv8gBrFfxvJpoPIPcxUHWup-vsxMH3HWUigZ8"",""💸 Expenses!A5:J200""),29,1),"""")"),"")</f>
        <v/>
      </c>
      <c r="B69" s="82" t="str">
        <f>IFERROR(__xludf.DUMMYFUNCTION("IFERROR(IF(INDEX(IMPORTRANGE(""12PgU-zwv8gBrFfxvJpoPIPcxUHWup-vsxMH3HWUigZ8"",""💸 Expenses!A5:J200""),29,2)="""","""",TEXT(INDEX(IMPORTRANGE(""12PgU-zwv8gBrFfxvJpoPIPcxUHWup-vsxMH3HWUigZ8"",""💸 Expenses!A5:J200""),29,2),""DD-MM-YYYY"")),"""")"),"")</f>
        <v/>
      </c>
      <c r="C69" s="83" t="str">
        <f>IFERROR(__xludf.DUMMYFUNCTION("IFERROR(INDEX(IMPORTRANGE(""12PgU-zwv8gBrFfxvJpoPIPcxUHWup-vsxMH3HWUigZ8"",""💸 Expenses!A5:J200""),29,3),"""")"),"")</f>
        <v/>
      </c>
      <c r="D69" s="83" t="str">
        <f>IFERROR(__xludf.DUMMYFUNCTION("IFERROR(INDEX(IMPORTRANGE(""12PgU-zwv8gBrFfxvJpoPIPcxUHWup-vsxMH3HWUigZ8"",""💸 Expenses!A5:J200""),29,4),"""")"),"")</f>
        <v/>
      </c>
      <c r="E69" s="83" t="str">
        <f>IFERROR(__xludf.DUMMYFUNCTION("IFERROR(INDEX(IMPORTRANGE(""12PgU-zwv8gBrFfxvJpoPIPcxUHWup-vsxMH3HWUigZ8"",""💸 Expenses!A5:J200""),29,5),"""")"),"")</f>
        <v/>
      </c>
      <c r="F69" s="84">
        <f>IFERROR(__xludf.DUMMYFUNCTION("IFERROR(IFERROR(INDEX(IMPORTRANGE(""12PgU-zwv8gBrFfxvJpoPIPcxUHWup-vsxMH3HWUigZ8"",""💸 Expenses!A5:J200""),29,6)*1,0),0)"),0.0)</f>
        <v>0</v>
      </c>
      <c r="G69" s="83" t="str">
        <f>IFERROR(__xludf.DUMMYFUNCTION("IFERROR(INDEX(IMPORTRANGE(""12PgU-zwv8gBrFfxvJpoPIPcxUHWup-vsxMH3HWUigZ8"",""💸 Expenses!A5:J200""),29,7),"""")"),"")</f>
        <v/>
      </c>
      <c r="H69" s="83" t="str">
        <f>IFERROR(__xludf.DUMMYFUNCTION("IFERROR(INDEX(IMPORTRANGE(""12PgU-zwv8gBrFfxvJpoPIPcxUHWup-vsxMH3HWUigZ8"",""💸 Expenses!A5:J200""),29,8),"""")"),"")</f>
        <v/>
      </c>
      <c r="I69" s="83" t="str">
        <f>IFERROR(__xludf.DUMMYFUNCTION("IFERROR(INDEX(IMPORTRANGE(""12PgU-zwv8gBrFfxvJpoPIPcxUHWup-vsxMH3HWUigZ8"",""💸 Expenses!A5:J200""),29,9),"""")"),"")</f>
        <v/>
      </c>
      <c r="J69" s="83" t="str">
        <f>IFERROR(__xludf.DUMMYFUNCTION("IFERROR(INDEX(IMPORTRANGE(""12PgU-zwv8gBrFfxvJpoPIPcxUHWup-vsxMH3HWUigZ8"",""💸 Expenses!A5:J200""),29,10),"""")"),"")</f>
        <v/>
      </c>
      <c r="K69" s="36"/>
      <c r="L69" s="36"/>
      <c r="M69" s="36"/>
      <c r="N69" s="36"/>
    </row>
    <row r="70" ht="18.0" customHeight="1">
      <c r="A70" s="54" t="str">
        <f>IFERROR(__xludf.DUMMYFUNCTION("IFERROR(INDEX(IMPORTRANGE(""12PgU-zwv8gBrFfxvJpoPIPcxUHWup-vsxMH3HWUigZ8"",""💸 Expenses!A5:J200""),30,1),"""")"),"")</f>
        <v/>
      </c>
      <c r="B70" s="85" t="str">
        <f>IFERROR(__xludf.DUMMYFUNCTION("IFERROR(IF(INDEX(IMPORTRANGE(""12PgU-zwv8gBrFfxvJpoPIPcxUHWup-vsxMH3HWUigZ8"",""💸 Expenses!A5:J200""),30,2)="""","""",TEXT(INDEX(IMPORTRANGE(""12PgU-zwv8gBrFfxvJpoPIPcxUHWup-vsxMH3HWUigZ8"",""💸 Expenses!A5:J200""),30,2),""DD-MM-YYYY"")),"""")"),"")</f>
        <v/>
      </c>
      <c r="C70" s="86" t="str">
        <f>IFERROR(__xludf.DUMMYFUNCTION("IFERROR(INDEX(IMPORTRANGE(""12PgU-zwv8gBrFfxvJpoPIPcxUHWup-vsxMH3HWUigZ8"",""💸 Expenses!A5:J200""),30,3),"""")"),"")</f>
        <v/>
      </c>
      <c r="D70" s="86" t="str">
        <f>IFERROR(__xludf.DUMMYFUNCTION("IFERROR(INDEX(IMPORTRANGE(""12PgU-zwv8gBrFfxvJpoPIPcxUHWup-vsxMH3HWUigZ8"",""💸 Expenses!A5:J200""),30,4),"""")"),"")</f>
        <v/>
      </c>
      <c r="E70" s="86" t="str">
        <f>IFERROR(__xludf.DUMMYFUNCTION("IFERROR(INDEX(IMPORTRANGE(""12PgU-zwv8gBrFfxvJpoPIPcxUHWup-vsxMH3HWUigZ8"",""💸 Expenses!A5:J200""),30,5),"""")"),"")</f>
        <v/>
      </c>
      <c r="F70" s="87">
        <f>IFERROR(__xludf.DUMMYFUNCTION("IFERROR(IFERROR(INDEX(IMPORTRANGE(""12PgU-zwv8gBrFfxvJpoPIPcxUHWup-vsxMH3HWUigZ8"",""💸 Expenses!A5:J200""),30,6)*1,0),0)"),0.0)</f>
        <v>0</v>
      </c>
      <c r="G70" s="86" t="str">
        <f>IFERROR(__xludf.DUMMYFUNCTION("IFERROR(INDEX(IMPORTRANGE(""12PgU-zwv8gBrFfxvJpoPIPcxUHWup-vsxMH3HWUigZ8"",""💸 Expenses!A5:J200""),30,7),"""")"),"")</f>
        <v/>
      </c>
      <c r="H70" s="86" t="str">
        <f>IFERROR(__xludf.DUMMYFUNCTION("IFERROR(INDEX(IMPORTRANGE(""12PgU-zwv8gBrFfxvJpoPIPcxUHWup-vsxMH3HWUigZ8"",""💸 Expenses!A5:J200""),30,8),"""")"),"")</f>
        <v/>
      </c>
      <c r="I70" s="86" t="str">
        <f>IFERROR(__xludf.DUMMYFUNCTION("IFERROR(INDEX(IMPORTRANGE(""12PgU-zwv8gBrFfxvJpoPIPcxUHWup-vsxMH3HWUigZ8"",""💸 Expenses!A5:J200""),30,9),"""")"),"")</f>
        <v/>
      </c>
      <c r="J70" s="86" t="str">
        <f>IFERROR(__xludf.DUMMYFUNCTION("IFERROR(INDEX(IMPORTRANGE(""12PgU-zwv8gBrFfxvJpoPIPcxUHWup-vsxMH3HWUigZ8"",""💸 Expenses!A5:J200""),30,10),"""")"),"")</f>
        <v/>
      </c>
      <c r="K70" s="37"/>
      <c r="L70" s="37"/>
      <c r="M70" s="37"/>
      <c r="N70" s="37"/>
    </row>
    <row r="71" ht="19.5" customHeight="1">
      <c r="A71" s="33" t="s">
        <v>104</v>
      </c>
      <c r="B71" s="2"/>
      <c r="C71" s="2"/>
      <c r="D71" s="2"/>
      <c r="E71" s="3"/>
      <c r="F71" s="34">
        <f>SUMPRODUCT((A41:A70&lt;&gt;"")*F41:F70)</f>
        <v>147622</v>
      </c>
      <c r="G71" s="38"/>
      <c r="H71" s="38"/>
      <c r="I71" s="38"/>
      <c r="J71" s="38"/>
      <c r="K71" s="38"/>
      <c r="L71" s="38"/>
      <c r="M71" s="38"/>
      <c r="N71" s="38"/>
    </row>
    <row r="72" ht="6.0" customHeight="1"/>
    <row r="73" ht="19.5" customHeight="1">
      <c r="A73" s="35" t="s">
        <v>36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</row>
    <row r="74" ht="18.0" customHeight="1">
      <c r="A74" s="17" t="s">
        <v>14</v>
      </c>
      <c r="B74" s="18" t="s">
        <v>37</v>
      </c>
      <c r="C74" s="3"/>
      <c r="D74" s="17" t="s">
        <v>38</v>
      </c>
      <c r="E74" s="17" t="s">
        <v>39</v>
      </c>
      <c r="F74" s="17" t="s">
        <v>40</v>
      </c>
    </row>
    <row r="75" ht="18.0" customHeight="1">
      <c r="A75" s="19">
        <v>1.0</v>
      </c>
      <c r="B75" s="10" t="s">
        <v>32</v>
      </c>
      <c r="C75" s="3"/>
      <c r="D75" s="20">
        <f>IFERROR(__xludf.DUMMYFUNCTION("IFERROR(INDEX(QUERY(IMPORTRANGE(""12PgU-zwv8gBrFfxvJpoPIPcxUHWup-vsxMH3HWUigZ8"",""💰 Donations!C4:M200""),""SELECT SUM(Col1) WHERE Col11='Aadi Festival' LABEL SUM(Col1) ''""),1),0)"),204603.0)</f>
        <v>204603</v>
      </c>
      <c r="E75" s="39">
        <f>IFERROR(__xludf.DUMMYFUNCTION("IFERROR(INDEX(QUERY(IMPORTRANGE(""12PgU-zwv8gBrFfxvJpoPIPcxUHWup-vsxMH3HWUigZ8"",""💰 Donations!C4:M200""),""SELECT SUM(Col2) WHERE Col11='Aadi Festival' LABEL SUM(Col2) ''""),1),0)"),149603.0)</f>
        <v>149603</v>
      </c>
      <c r="F75" s="21">
        <f t="shared" ref="F75:F83" si="3">D75-E75</f>
        <v>55000</v>
      </c>
      <c r="G75" s="36"/>
      <c r="H75" s="36"/>
      <c r="I75" s="36"/>
      <c r="J75" s="36"/>
      <c r="K75" s="36"/>
      <c r="L75" s="36"/>
      <c r="M75" s="36"/>
      <c r="N75" s="36"/>
    </row>
    <row r="76" ht="18.0" customHeight="1">
      <c r="A76" s="22">
        <v>2.0</v>
      </c>
      <c r="B76" s="12" t="s">
        <v>33</v>
      </c>
      <c r="C76" s="3"/>
      <c r="D76" s="23">
        <f>IFERROR(__xludf.DUMMYFUNCTION("IFERROR(INDEX(QUERY(IMPORTRANGE(""12PgU-zwv8gBrFfxvJpoPIPcxUHWup-vsxMH3HWUigZ8"",""💰 Donations!C4:M200""),""SELECT SUM(Col1) WHERE Col11='Temple Development' LABEL SUM(Col1) ''""),1),0)"),88500.0)</f>
        <v>88500</v>
      </c>
      <c r="E76" s="40">
        <f>IFERROR(__xludf.DUMMYFUNCTION("IFERROR(INDEX(QUERY(IMPORTRANGE(""12PgU-zwv8gBrFfxvJpoPIPcxUHWup-vsxMH3HWUigZ8"",""💰 Donations!C4:M200""),""SELECT SUM(Col2) WHERE Col11='Temple Development' LABEL SUM(Col2) ''""),1),0)"),83500.0)</f>
        <v>83500</v>
      </c>
      <c r="F76" s="24">
        <f t="shared" si="3"/>
        <v>5000</v>
      </c>
      <c r="G76" s="37"/>
      <c r="H76" s="37"/>
      <c r="I76" s="37"/>
      <c r="J76" s="37"/>
      <c r="K76" s="37"/>
      <c r="L76" s="37"/>
      <c r="M76" s="37"/>
      <c r="N76" s="37"/>
    </row>
    <row r="77" ht="18.0" customHeight="1">
      <c r="A77" s="19">
        <v>3.0</v>
      </c>
      <c r="B77" s="10" t="s">
        <v>41</v>
      </c>
      <c r="C77" s="3"/>
      <c r="D77" s="20">
        <f>IFERROR(__xludf.DUMMYFUNCTION("IFERROR(INDEX(QUERY(IMPORTRANGE(""12PgU-zwv8gBrFfxvJpoPIPcxUHWup-vsxMH3HWUigZ8"",""💰 Donations!C4:M200""),""SELECT SUM(Col1) WHERE Col11='Birthday Pooja' LABEL SUM(Col1) ''""),1),0)"),800.0)</f>
        <v>800</v>
      </c>
      <c r="E77" s="39">
        <f>IFERROR(__xludf.DUMMYFUNCTION("IFERROR(INDEX(QUERY(IMPORTRANGE(""12PgU-zwv8gBrFfxvJpoPIPcxUHWup-vsxMH3HWUigZ8"",""💰 Donations!C4:M200""),""SELECT SUM(Col2) WHERE Col11='Birthday Pooja' LABEL SUM(Col2) ''""),1),0)"),800.0)</f>
        <v>800</v>
      </c>
      <c r="F77" s="21">
        <f t="shared" si="3"/>
        <v>0</v>
      </c>
      <c r="G77" s="36"/>
      <c r="H77" s="36"/>
      <c r="I77" s="36"/>
      <c r="J77" s="36"/>
      <c r="K77" s="36"/>
      <c r="L77" s="36"/>
      <c r="M77" s="36"/>
      <c r="N77" s="36"/>
    </row>
    <row r="78" ht="18.0" customHeight="1">
      <c r="A78" s="22">
        <v>4.0</v>
      </c>
      <c r="B78" s="12" t="s">
        <v>42</v>
      </c>
      <c r="C78" s="3"/>
      <c r="D78" s="23">
        <f>IFERROR(__xludf.DUMMYFUNCTION("IFERROR(INDEX(QUERY(IMPORTRANGE(""12PgU-zwv8gBrFfxvJpoPIPcxUHWup-vsxMH3HWUigZ8"",""💰 Donations!C4:M200""),""SELECT SUM(Col1) WHERE Col11='Anniversary Pooja' LABEL SUM(Col1) ''""),1),0)"),0.0)</f>
        <v>0</v>
      </c>
      <c r="E78" s="40">
        <f>IFERROR(__xludf.DUMMYFUNCTION("IFERROR(INDEX(QUERY(IMPORTRANGE(""12PgU-zwv8gBrFfxvJpoPIPcxUHWup-vsxMH3HWUigZ8"",""💰 Donations!C4:M200""),""SELECT SUM(Col2) WHERE Col11='Anniversary Pooja' LABEL SUM(Col2) ''""),1),0)"),0.0)</f>
        <v>0</v>
      </c>
      <c r="F78" s="24">
        <f t="shared" si="3"/>
        <v>0</v>
      </c>
      <c r="G78" s="37"/>
      <c r="H78" s="37"/>
      <c r="I78" s="37"/>
      <c r="J78" s="37"/>
      <c r="K78" s="37"/>
      <c r="L78" s="37"/>
      <c r="M78" s="37"/>
      <c r="N78" s="37"/>
    </row>
    <row r="79" ht="18.0" customHeight="1">
      <c r="A79" s="19">
        <v>5.0</v>
      </c>
      <c r="B79" s="10" t="s">
        <v>43</v>
      </c>
      <c r="C79" s="3"/>
      <c r="D79" s="20">
        <f>IFERROR(__xludf.DUMMYFUNCTION("IFERROR(INDEX(QUERY(IMPORTRANGE(""12PgU-zwv8gBrFfxvJpoPIPcxUHWup-vsxMH3HWUigZ8"",""💰 Donations!C4:M200""),""SELECT SUM(Col1) WHERE Col11='Pournami Pooja' LABEL SUM(Col1) ''""),1),0)"),0.0)</f>
        <v>0</v>
      </c>
      <c r="E79" s="39">
        <f>IFERROR(__xludf.DUMMYFUNCTION("IFERROR(INDEX(QUERY(IMPORTRANGE(""12PgU-zwv8gBrFfxvJpoPIPcxUHWup-vsxMH3HWUigZ8"",""💰 Donations!C4:M200""),""SELECT SUM(Col2) WHERE Col11='Pournami Pooja' LABEL SUM(Col2) ''""),1),0)"),0.0)</f>
        <v>0</v>
      </c>
      <c r="F79" s="21">
        <f t="shared" si="3"/>
        <v>0</v>
      </c>
      <c r="G79" s="36"/>
      <c r="H79" s="36"/>
      <c r="I79" s="36"/>
      <c r="J79" s="36"/>
      <c r="K79" s="36"/>
      <c r="L79" s="36"/>
      <c r="M79" s="36"/>
      <c r="N79" s="36"/>
    </row>
    <row r="80" ht="18.0" customHeight="1">
      <c r="A80" s="22">
        <v>6.0</v>
      </c>
      <c r="B80" s="12" t="s">
        <v>44</v>
      </c>
      <c r="C80" s="3"/>
      <c r="D80" s="23">
        <f>IFERROR(__xludf.DUMMYFUNCTION("IFERROR(INDEX(QUERY(IMPORTRANGE(""12PgU-zwv8gBrFfxvJpoPIPcxUHWup-vsxMH3HWUigZ8"",""💰 Donations!C4:M200""),""SELECT SUM(Col1) WHERE Col11='Amavasai Pooja' LABEL SUM(Col1) ''""),1),0)"),0.0)</f>
        <v>0</v>
      </c>
      <c r="E80" s="40">
        <f>IFERROR(__xludf.DUMMYFUNCTION("IFERROR(INDEX(QUERY(IMPORTRANGE(""12PgU-zwv8gBrFfxvJpoPIPcxUHWup-vsxMH3HWUigZ8"",""💰 Donations!C4:M200""),""SELECT SUM(Col2) WHERE Col11='Amavasai Pooja' LABEL SUM(Col2) ''""),1),0)"),0.0)</f>
        <v>0</v>
      </c>
      <c r="F80" s="24">
        <f t="shared" si="3"/>
        <v>0</v>
      </c>
      <c r="G80" s="37"/>
      <c r="H80" s="37"/>
      <c r="I80" s="37"/>
      <c r="J80" s="37"/>
      <c r="K80" s="37"/>
      <c r="L80" s="37"/>
      <c r="M80" s="37"/>
      <c r="N80" s="37"/>
    </row>
    <row r="81" ht="18.0" customHeight="1">
      <c r="A81" s="19">
        <v>7.0</v>
      </c>
      <c r="B81" s="10" t="s">
        <v>45</v>
      </c>
      <c r="C81" s="3"/>
      <c r="D81" s="20">
        <f>IFERROR(__xludf.DUMMYFUNCTION("IFERROR(INDEX(QUERY(IMPORTRANGE(""12PgU-zwv8gBrFfxvJpoPIPcxUHWup-vsxMH3HWUigZ8"",""💰 Donations!C4:M200""),""SELECT SUM(Col1) WHERE Col11='Weekly Pooja' LABEL SUM(Col1) ''""),1),0)"),500.0)</f>
        <v>500</v>
      </c>
      <c r="E81" s="39">
        <f>IFERROR(__xludf.DUMMYFUNCTION("IFERROR(INDEX(QUERY(IMPORTRANGE(""12PgU-zwv8gBrFfxvJpoPIPcxUHWup-vsxMH3HWUigZ8"",""💰 Donations!C4:M200""),""SELECT SUM(Col2) WHERE Col11='Weekly Pooja' LABEL SUM(Col2) ''""),1),0)"),500.0)</f>
        <v>500</v>
      </c>
      <c r="F81" s="21">
        <f t="shared" si="3"/>
        <v>0</v>
      </c>
      <c r="G81" s="36"/>
      <c r="H81" s="36"/>
      <c r="I81" s="36"/>
      <c r="J81" s="36"/>
      <c r="K81" s="36"/>
      <c r="L81" s="36"/>
      <c r="M81" s="36"/>
      <c r="N81" s="36"/>
    </row>
    <row r="82" ht="18.0" customHeight="1">
      <c r="A82" s="22">
        <v>8.0</v>
      </c>
      <c r="B82" s="12" t="s">
        <v>35</v>
      </c>
      <c r="C82" s="3"/>
      <c r="D82" s="23">
        <f>IFERROR(__xludf.DUMMYFUNCTION("IFERROR(INDEX(QUERY(IMPORTRANGE(""12PgU-zwv8gBrFfxvJpoPIPcxUHWup-vsxMH3HWUigZ8"",""💰 Donations!C4:M200""),""SELECT SUM(Col1) WHERE Col11='Others' LABEL SUM(Col1) ''""),1),0)"),13400.0)</f>
        <v>13400</v>
      </c>
      <c r="E82" s="40">
        <f>IFERROR(__xludf.DUMMYFUNCTION("IFERROR(INDEX(QUERY(IMPORTRANGE(""12PgU-zwv8gBrFfxvJpoPIPcxUHWup-vsxMH3HWUigZ8"",""💰 Donations!C4:M200""),""SELECT SUM(Col2) WHERE Col11='Others' LABEL SUM(Col2) ''""),1),0)"),13400.0)</f>
        <v>13400</v>
      </c>
      <c r="F82" s="24">
        <f t="shared" si="3"/>
        <v>0</v>
      </c>
      <c r="G82" s="37"/>
      <c r="H82" s="37"/>
      <c r="I82" s="37"/>
      <c r="J82" s="37"/>
      <c r="K82" s="37"/>
      <c r="L82" s="37"/>
      <c r="M82" s="37"/>
      <c r="N82" s="37"/>
    </row>
    <row r="83" ht="19.5" customHeight="1">
      <c r="A83" s="33" t="s">
        <v>28</v>
      </c>
      <c r="B83" s="2"/>
      <c r="C83" s="3"/>
      <c r="D83" s="34">
        <f t="shared" ref="D83:E83" si="4">SUM(D75:D82)</f>
        <v>307803</v>
      </c>
      <c r="E83" s="34">
        <f t="shared" si="4"/>
        <v>247803</v>
      </c>
      <c r="F83" s="34">
        <f t="shared" si="3"/>
        <v>60000</v>
      </c>
      <c r="G83" s="38"/>
      <c r="H83" s="38"/>
      <c r="I83" s="38"/>
      <c r="J83" s="38"/>
      <c r="K83" s="38"/>
      <c r="L83" s="38"/>
      <c r="M83" s="38"/>
      <c r="N83" s="38"/>
    </row>
    <row r="84" ht="6.0" customHeight="1"/>
    <row r="85" ht="19.5" customHeight="1">
      <c r="A85" s="5" t="s">
        <v>105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</row>
    <row r="86" ht="18.0" customHeight="1">
      <c r="A86" s="17" t="s">
        <v>14</v>
      </c>
      <c r="B86" s="18" t="s">
        <v>106</v>
      </c>
      <c r="C86" s="3"/>
      <c r="D86" s="17" t="s">
        <v>38</v>
      </c>
      <c r="E86" s="17" t="s">
        <v>39</v>
      </c>
      <c r="F86" s="17" t="s">
        <v>18</v>
      </c>
      <c r="G86" s="17" t="s">
        <v>47</v>
      </c>
      <c r="H86" s="17" t="s">
        <v>107</v>
      </c>
      <c r="I86" s="17" t="s">
        <v>108</v>
      </c>
      <c r="J86" s="17" t="s">
        <v>109</v>
      </c>
      <c r="K86" s="17" t="s">
        <v>110</v>
      </c>
      <c r="L86" s="17" t="s">
        <v>57</v>
      </c>
      <c r="M86" s="17" t="s">
        <v>111</v>
      </c>
      <c r="N86" s="17" t="s">
        <v>112</v>
      </c>
    </row>
    <row r="87" ht="18.0" customHeight="1">
      <c r="A87" s="19" t="str">
        <f>IFERROR(__xludf.DUMMYFUNCTION("IFERROR(INDEX(IMPORTRANGE(""12PgU-zwv8gBrFfxvJpoPIPcxUHWup-vsxMH3HWUigZ8"",""💰 Donations!A4:N200""),1,1),"""")"),"2026/D/1")</f>
        <v>2026/D/1</v>
      </c>
      <c r="B87" s="88" t="str">
        <f>IFERROR(__xludf.DUMMYFUNCTION("IFERROR(INDEX(IMPORTRANGE(""12PgU-zwv8gBrFfxvJpoPIPcxUHWup-vsxMH3HWUigZ8"",""💰 Donations!A4:N200""),1,2),"""")"),"S Shekar")</f>
        <v>S Shekar</v>
      </c>
      <c r="C87" s="3"/>
      <c r="D87" s="20">
        <f>IFERROR(__xludf.DUMMYFUNCTION("IFERROR(IFERROR(INDEX(IMPORTRANGE(""12PgU-zwv8gBrFfxvJpoPIPcxUHWup-vsxMH3HWUigZ8"",""💰 Donations!A4:N200""),1,3)*1,0),0)"),12000.0)</f>
        <v>12000</v>
      </c>
      <c r="E87" s="39">
        <f>IFERROR(__xludf.DUMMYFUNCTION("IFERROR(IFERROR(INDEX(IMPORTRANGE(""12PgU-zwv8gBrFfxvJpoPIPcxUHWup-vsxMH3HWUigZ8"",""💰 Donations!A4:N200""),1,4)*1,0),0)"),0.0)</f>
        <v>0</v>
      </c>
      <c r="F87" s="21">
        <f t="shared" ref="F87:F136" si="5">IFERROR(D87-E87,0)</f>
        <v>12000</v>
      </c>
      <c r="G87" s="89" t="str">
        <f t="shared" ref="G87:G136" si="6">IF(A87="","",IF(OR(E87=0,E87=""),"Pending",IF(E87&gt;=D87,"Received","Partially Received")))</f>
        <v>Pending</v>
      </c>
      <c r="H87" s="50" t="str">
        <f>IFERROR(__xludf.DUMMYFUNCTION("IFERROR(INDEX(IMPORTRANGE(""12PgU-zwv8gBrFfxvJpoPIPcxUHWup-vsxMH3HWUigZ8"",""💰 Donations!A4:N200""),1,6),"""")"),"")</f>
        <v/>
      </c>
      <c r="I87" s="82" t="str">
        <f>IFERROR(__xludf.DUMMYFUNCTION("IFERROR(IF(INDEX(IMPORTRANGE(""12PgU-zwv8gBrFfxvJpoPIPcxUHWup-vsxMH3HWUigZ8"",""💰 Donations!A4:N200""),1,7)="""","""",TEXT(INDEX(IMPORTRANGE(""12PgU-zwv8gBrFfxvJpoPIPcxUHWup-vsxMH3HWUigZ8"",""💰 Donations!A4:N200""),1,7),""DD-MM-YYYY"")),"""")"),"")</f>
        <v/>
      </c>
      <c r="J87" s="83" t="str">
        <f>IFERROR(__xludf.DUMMYFUNCTION("IFERROR(INDEX(IMPORTRANGE(""12PgU-zwv8gBrFfxvJpoPIPcxUHWup-vsxMH3HWUigZ8"",""💰 Donations!A4:N200""),1,8),"""")"),"")</f>
        <v/>
      </c>
      <c r="K87" s="90" t="str">
        <f>IFERROR(__xludf.DUMMYFUNCTION("IFERROR(INDEX(IMPORTRANGE(""12PgU-zwv8gBrFfxvJpoPIPcxUHWup-vsxMH3HWUigZ8"",""💰 Donations!A4:N200""),1,11),"""")"),"Towards Iyer")</f>
        <v>Towards Iyer</v>
      </c>
      <c r="L87" s="50" t="str">
        <f>IFERROR(__xludf.DUMMYFUNCTION("IFERROR(INDEX(IMPORTRANGE(""12PgU-zwv8gBrFfxvJpoPIPcxUHWup-vsxMH3HWUigZ8"",""💰 Donations!A4:N200""),1,13),"""")"),"Aadi Festival")</f>
        <v>Aadi Festival</v>
      </c>
      <c r="M87" s="83" t="str">
        <f>IFERROR(__xludf.DUMMYFUNCTION("IFERROR(INDEX(IMPORTRANGE(""12PgU-zwv8gBrFfxvJpoPIPcxUHWup-vsxMH3HWUigZ8"",""💰 Donations!A4:N200""),1,14),"""")"),"")</f>
        <v/>
      </c>
      <c r="N87" s="82" t="str">
        <f>IFERROR(__xludf.DUMMYFUNCTION("IFERROR(IF(INDEX(IMPORTRANGE(""12PgU-zwv8gBrFfxvJpoPIPcxUHWup-vsxMH3HWUigZ8"",""💰 Donations!A4:N200""),1,10)="""","""",TEXT(INDEX(IMPORTRANGE(""12PgU-zwv8gBrFfxvJpoPIPcxUHWup-vsxMH3HWUigZ8"",""💰 Donations!A4:N200""),1,10),""DD-MM-YYYY"")),"""")"),"10-08-2026")</f>
        <v>10-08-2026</v>
      </c>
    </row>
    <row r="88" ht="18.0" customHeight="1">
      <c r="A88" s="22" t="str">
        <f>IFERROR(__xludf.DUMMYFUNCTION("IFERROR(INDEX(IMPORTRANGE(""12PgU-zwv8gBrFfxvJpoPIPcxUHWup-vsxMH3HWUigZ8"",""💰 Donations!A4:N200""),2,1),"""")"),"2026/D/2")</f>
        <v>2026/D/2</v>
      </c>
      <c r="B88" s="91" t="str">
        <f>IFERROR(__xludf.DUMMYFUNCTION("IFERROR(INDEX(IMPORTRANGE(""12PgU-zwv8gBrFfxvJpoPIPcxUHWup-vsxMH3HWUigZ8"",""💰 Donations!A4:N200""),2,2),"""")"),"D Sunil Kumar")</f>
        <v>D Sunil Kumar</v>
      </c>
      <c r="C88" s="3"/>
      <c r="D88" s="23">
        <f>IFERROR(__xludf.DUMMYFUNCTION("IFERROR(IFERROR(INDEX(IMPORTRANGE(""12PgU-zwv8gBrFfxvJpoPIPcxUHWup-vsxMH3HWUigZ8"",""💰 Donations!A4:N200""),2,3)*1,0),0)"),10000.0)</f>
        <v>10000</v>
      </c>
      <c r="E88" s="40">
        <f>IFERROR(__xludf.DUMMYFUNCTION("IFERROR(IFERROR(INDEX(IMPORTRANGE(""12PgU-zwv8gBrFfxvJpoPIPcxUHWup-vsxMH3HWUigZ8"",""💰 Donations!A4:N200""),2,4)*1,0),0)"),10000.0)</f>
        <v>10000</v>
      </c>
      <c r="F88" s="24">
        <f t="shared" si="5"/>
        <v>0</v>
      </c>
      <c r="G88" s="92" t="str">
        <f t="shared" si="6"/>
        <v>Received</v>
      </c>
      <c r="H88" s="54" t="str">
        <f>IFERROR(__xludf.DUMMYFUNCTION("IFERROR(INDEX(IMPORTRANGE(""12PgU-zwv8gBrFfxvJpoPIPcxUHWup-vsxMH3HWUigZ8"",""💰 Donations!A4:N200""),2,6),"""")"),"UPI")</f>
        <v>UPI</v>
      </c>
      <c r="I88" s="85" t="str">
        <f>IFERROR(__xludf.DUMMYFUNCTION("IFERROR(IF(INDEX(IMPORTRANGE(""12PgU-zwv8gBrFfxvJpoPIPcxUHWup-vsxMH3HWUigZ8"",""💰 Donations!A4:N200""),2,7)="""","""",TEXT(INDEX(IMPORTRANGE(""12PgU-zwv8gBrFfxvJpoPIPcxUHWup-vsxMH3HWUigZ8"",""💰 Donations!A4:N200""),2,7),""DD-MM-YYYY"")),"""")"),"24-05-2026")</f>
        <v>24-05-2026</v>
      </c>
      <c r="J88" s="86" t="str">
        <f>IFERROR(__xludf.DUMMYFUNCTION("IFERROR(INDEX(IMPORTRANGE(""12PgU-zwv8gBrFfxvJpoPIPcxUHWup-vsxMH3HWUigZ8"",""💰 Donations!A4:N200""),2,8),"""")"),"Sunil Kumar")</f>
        <v>Sunil Kumar</v>
      </c>
      <c r="K88" s="93" t="str">
        <f>IFERROR(__xludf.DUMMYFUNCTION("IFERROR(INDEX(IMPORTRANGE(""12PgU-zwv8gBrFfxvJpoPIPcxUHWup-vsxMH3HWUigZ8"",""💰 Donations!A4:N200""),2,11),"""")"),"Pooja Items")</f>
        <v>Pooja Items</v>
      </c>
      <c r="L88" s="54" t="str">
        <f>IFERROR(__xludf.DUMMYFUNCTION("IFERROR(INDEX(IMPORTRANGE(""12PgU-zwv8gBrFfxvJpoPIPcxUHWup-vsxMH3HWUigZ8"",""💰 Donations!A4:N200""),2,13),"""")"),"Aadi Festival")</f>
        <v>Aadi Festival</v>
      </c>
      <c r="M88" s="86" t="str">
        <f>IFERROR(__xludf.DUMMYFUNCTION("IFERROR(INDEX(IMPORTRANGE(""12PgU-zwv8gBrFfxvJpoPIPcxUHWup-vsxMH3HWUigZ8"",""💰 Donations!A4:N200""),2,14),"""")"),"")</f>
        <v/>
      </c>
      <c r="N88" s="85" t="str">
        <f>IFERROR(__xludf.DUMMYFUNCTION("IFERROR(IF(INDEX(IMPORTRANGE(""12PgU-zwv8gBrFfxvJpoPIPcxUHWup-vsxMH3HWUigZ8"",""💰 Donations!A4:N200""),2,10)="""","""",TEXT(INDEX(IMPORTRANGE(""12PgU-zwv8gBrFfxvJpoPIPcxUHWup-vsxMH3HWUigZ8"",""💰 Donations!A4:N200""),2,10),""DD-MM-YYYY"")),"""")"),"")</f>
        <v/>
      </c>
    </row>
    <row r="89" ht="18.0" customHeight="1">
      <c r="A89" s="19" t="str">
        <f>IFERROR(__xludf.DUMMYFUNCTION("IFERROR(INDEX(IMPORTRANGE(""12PgU-zwv8gBrFfxvJpoPIPcxUHWup-vsxMH3HWUigZ8"",""💰 Donations!A4:N200""),3,1),"""")"),"2026/D/3")</f>
        <v>2026/D/3</v>
      </c>
      <c r="B89" s="88" t="str">
        <f>IFERROR(__xludf.DUMMYFUNCTION("IFERROR(INDEX(IMPORTRANGE(""12PgU-zwv8gBrFfxvJpoPIPcxUHWup-vsxMH3HWUigZ8"",""💰 Donations!A4:N200""),3,2),"""")"),"Suresh Velu")</f>
        <v>Suresh Velu</v>
      </c>
      <c r="C89" s="3"/>
      <c r="D89" s="20">
        <f>IFERROR(__xludf.DUMMYFUNCTION("IFERROR(IFERROR(INDEX(IMPORTRANGE(""12PgU-zwv8gBrFfxvJpoPIPcxUHWup-vsxMH3HWUigZ8"",""💰 Donations!A4:N200""),3,3)*1,0),0)"),13000.0)</f>
        <v>13000</v>
      </c>
      <c r="E89" s="39">
        <f>IFERROR(__xludf.DUMMYFUNCTION("IFERROR(IFERROR(INDEX(IMPORTRANGE(""12PgU-zwv8gBrFfxvJpoPIPcxUHWup-vsxMH3HWUigZ8"",""💰 Donations!A4:N200""),3,4)*1,0),0)"),13000.0)</f>
        <v>13000</v>
      </c>
      <c r="F89" s="21">
        <f t="shared" si="5"/>
        <v>0</v>
      </c>
      <c r="G89" s="89" t="str">
        <f t="shared" si="6"/>
        <v>Received</v>
      </c>
      <c r="H89" s="50" t="str">
        <f>IFERROR(__xludf.DUMMYFUNCTION("IFERROR(INDEX(IMPORTRANGE(""12PgU-zwv8gBrFfxvJpoPIPcxUHWup-vsxMH3HWUigZ8"",""💰 Donations!A4:N200""),3,6),"""")"),"Cash")</f>
        <v>Cash</v>
      </c>
      <c r="I89" s="82" t="str">
        <f>IFERROR(__xludf.DUMMYFUNCTION("IFERROR(IF(INDEX(IMPORTRANGE(""12PgU-zwv8gBrFfxvJpoPIPcxUHWup-vsxMH3HWUigZ8"",""💰 Donations!A4:N200""),3,7)="""","""",TEXT(INDEX(IMPORTRANGE(""12PgU-zwv8gBrFfxvJpoPIPcxUHWup-vsxMH3HWUigZ8"",""💰 Donations!A4:N200""),3,7),""DD-MM-YYYY"")),"""")"),"06-07-2026")</f>
        <v>06-07-2026</v>
      </c>
      <c r="J89" s="83" t="str">
        <f>IFERROR(__xludf.DUMMYFUNCTION("IFERROR(INDEX(IMPORTRANGE(""12PgU-zwv8gBrFfxvJpoPIPcxUHWup-vsxMH3HWUigZ8"",""💰 Donations!A4:N200""),3,8),"""")"),"Suresh Velu")</f>
        <v>Suresh Velu</v>
      </c>
      <c r="K89" s="90" t="str">
        <f>IFERROR(__xludf.DUMMYFUNCTION("IFERROR(INDEX(IMPORTRANGE(""12PgU-zwv8gBrFfxvJpoPIPcxUHWup-vsxMH3HWUigZ8"",""💰 Donations!A4:N200""),3,11),"""")"),"Chariot - Flowers &amp; Flower Decoration and Crackers")</f>
        <v>Chariot - Flowers &amp; Flower Decoration and Crackers</v>
      </c>
      <c r="L89" s="50" t="str">
        <f>IFERROR(__xludf.DUMMYFUNCTION("IFERROR(INDEX(IMPORTRANGE(""12PgU-zwv8gBrFfxvJpoPIPcxUHWup-vsxMH3HWUigZ8"",""💰 Donations!A4:N200""),3,13),"""")"),"Aadi Festival")</f>
        <v>Aadi Festival</v>
      </c>
      <c r="M89" s="83" t="str">
        <f>IFERROR(__xludf.DUMMYFUNCTION("IFERROR(INDEX(IMPORTRANGE(""12PgU-zwv8gBrFfxvJpoPIPcxUHWup-vsxMH3HWUigZ8"",""💰 Donations!A4:N200""),3,14),"""")"),"")</f>
        <v/>
      </c>
      <c r="N89" s="82" t="str">
        <f>IFERROR(__xludf.DUMMYFUNCTION("IFERROR(IF(INDEX(IMPORTRANGE(""12PgU-zwv8gBrFfxvJpoPIPcxUHWup-vsxMH3HWUigZ8"",""💰 Donations!A4:N200""),3,10)="""","""",TEXT(INDEX(IMPORTRANGE(""12PgU-zwv8gBrFfxvJpoPIPcxUHWup-vsxMH3HWUigZ8"",""💰 Donations!A4:N200""),3,10),""DD-MM-YYYY"")),"""")"),"10-08-2026")</f>
        <v>10-08-2026</v>
      </c>
    </row>
    <row r="90" ht="18.0" customHeight="1">
      <c r="A90" s="22" t="str">
        <f>IFERROR(__xludf.DUMMYFUNCTION("IFERROR(INDEX(IMPORTRANGE(""12PgU-zwv8gBrFfxvJpoPIPcxUHWup-vsxMH3HWUigZ8"",""💰 Donations!A4:N200""),4,1),"""")"),"2026/D/4")</f>
        <v>2026/D/4</v>
      </c>
      <c r="B90" s="91" t="str">
        <f>IFERROR(__xludf.DUMMYFUNCTION("IFERROR(INDEX(IMPORTRANGE(""12PgU-zwv8gBrFfxvJpoPIPcxUHWup-vsxMH3HWUigZ8"",""💰 Donations!A4:N200""),4,2),"""")"),"Gayathri &amp; Perumal ")</f>
        <v>Gayathri &amp; Perumal </v>
      </c>
      <c r="C90" s="3"/>
      <c r="D90" s="23">
        <f>IFERROR(__xludf.DUMMYFUNCTION("IFERROR(IFERROR(INDEX(IMPORTRANGE(""12PgU-zwv8gBrFfxvJpoPIPcxUHWup-vsxMH3HWUigZ8"",""💰 Donations!A4:N200""),4,3)*1,0),0)"),7500.0)</f>
        <v>7500</v>
      </c>
      <c r="E90" s="40">
        <f>IFERROR(__xludf.DUMMYFUNCTION("IFERROR(IFERROR(INDEX(IMPORTRANGE(""12PgU-zwv8gBrFfxvJpoPIPcxUHWup-vsxMH3HWUigZ8"",""💰 Donations!A4:N200""),4,4)*1,0),0)"),7500.0)</f>
        <v>7500</v>
      </c>
      <c r="F90" s="24">
        <f t="shared" si="5"/>
        <v>0</v>
      </c>
      <c r="G90" s="92" t="str">
        <f t="shared" si="6"/>
        <v>Received</v>
      </c>
      <c r="H90" s="54" t="str">
        <f>IFERROR(__xludf.DUMMYFUNCTION("IFERROR(INDEX(IMPORTRANGE(""12PgU-zwv8gBrFfxvJpoPIPcxUHWup-vsxMH3HWUigZ8"",""💰 Donations!A4:N200""),4,6),"""")"),"UPI")</f>
        <v>UPI</v>
      </c>
      <c r="I90" s="85" t="str">
        <f>IFERROR(__xludf.DUMMYFUNCTION("IFERROR(IF(INDEX(IMPORTRANGE(""12PgU-zwv8gBrFfxvJpoPIPcxUHWup-vsxMH3HWUigZ8"",""💰 Donations!A4:N200""),4,7)="""","""",TEXT(INDEX(IMPORTRANGE(""12PgU-zwv8gBrFfxvJpoPIPcxUHWup-vsxMH3HWUigZ8"",""💰 Donations!A4:N200""),4,7),""DD-MM-YYYY"")),"""")"),"24-05-2026")</f>
        <v>24-05-2026</v>
      </c>
      <c r="J90" s="86" t="str">
        <f>IFERROR(__xludf.DUMMYFUNCTION("IFERROR(INDEX(IMPORTRANGE(""12PgU-zwv8gBrFfxvJpoPIPcxUHWup-vsxMH3HWUigZ8"",""💰 Donations!A4:N200""),4,8),"""")"),"Sunil Kumar")</f>
        <v>Sunil Kumar</v>
      </c>
      <c r="K90" s="93" t="str">
        <f>IFERROR(__xludf.DUMMYFUNCTION("IFERROR(INDEX(IMPORTRANGE(""12PgU-zwv8gBrFfxvJpoPIPcxUHWup-vsxMH3HWUigZ8"",""💰 Donations!A4:N200""),4,11),"""")"),"Decoration of Ponniamman &amp; tempo charges for Procession")</f>
        <v>Decoration of Ponniamman &amp; tempo charges for Procession</v>
      </c>
      <c r="L90" s="54" t="str">
        <f>IFERROR(__xludf.DUMMYFUNCTION("IFERROR(INDEX(IMPORTRANGE(""12PgU-zwv8gBrFfxvJpoPIPcxUHWup-vsxMH3HWUigZ8"",""💰 Donations!A4:N200""),4,13),"""")"),"Aadi Festival")</f>
        <v>Aadi Festival</v>
      </c>
      <c r="M90" s="86" t="str">
        <f>IFERROR(__xludf.DUMMYFUNCTION("IFERROR(INDEX(IMPORTRANGE(""12PgU-zwv8gBrFfxvJpoPIPcxUHWup-vsxMH3HWUigZ8"",""💰 Donations!A4:N200""),4,14),"""")"),"")</f>
        <v/>
      </c>
      <c r="N90" s="85" t="str">
        <f>IFERROR(__xludf.DUMMYFUNCTION("IFERROR(IF(INDEX(IMPORTRANGE(""12PgU-zwv8gBrFfxvJpoPIPcxUHWup-vsxMH3HWUigZ8"",""💰 Donations!A4:N200""),4,10)="""","""",TEXT(INDEX(IMPORTRANGE(""12PgU-zwv8gBrFfxvJpoPIPcxUHWup-vsxMH3HWUigZ8"",""💰 Donations!A4:N200""),4,10),""DD-MM-YYYY"")),"""")"),"")</f>
        <v/>
      </c>
    </row>
    <row r="91" ht="18.0" customHeight="1">
      <c r="A91" s="19" t="str">
        <f>IFERROR(__xludf.DUMMYFUNCTION("IFERROR(INDEX(IMPORTRANGE(""12PgU-zwv8gBrFfxvJpoPIPcxUHWup-vsxMH3HWUigZ8"",""💰 Donations!A4:N200""),5,1),"""")"),"2026/D/5")</f>
        <v>2026/D/5</v>
      </c>
      <c r="B91" s="88" t="str">
        <f>IFERROR(__xludf.DUMMYFUNCTION("IFERROR(INDEX(IMPORTRANGE(""12PgU-zwv8gBrFfxvJpoPIPcxUHWup-vsxMH3HWUigZ8"",""💰 Donations!A4:N200""),5,2),"""")"),"Manikandan &amp; Nandini")</f>
        <v>Manikandan &amp; Nandini</v>
      </c>
      <c r="C91" s="3"/>
      <c r="D91" s="20">
        <f>IFERROR(__xludf.DUMMYFUNCTION("IFERROR(IFERROR(INDEX(IMPORTRANGE(""12PgU-zwv8gBrFfxvJpoPIPcxUHWup-vsxMH3HWUigZ8"",""💰 Donations!A4:N200""),5,3)*1,0),0)"),40000.0)</f>
        <v>40000</v>
      </c>
      <c r="E91" s="39">
        <f>IFERROR(__xludf.DUMMYFUNCTION("IFERROR(IFERROR(INDEX(IMPORTRANGE(""12PgU-zwv8gBrFfxvJpoPIPcxUHWup-vsxMH3HWUigZ8"",""💰 Donations!A4:N200""),5,4)*1,0),0)"),40000.0)</f>
        <v>40000</v>
      </c>
      <c r="F91" s="21">
        <f t="shared" si="5"/>
        <v>0</v>
      </c>
      <c r="G91" s="89" t="str">
        <f t="shared" si="6"/>
        <v>Received</v>
      </c>
      <c r="H91" s="50" t="str">
        <f>IFERROR(__xludf.DUMMYFUNCTION("IFERROR(INDEX(IMPORTRANGE(""12PgU-zwv8gBrFfxvJpoPIPcxUHWup-vsxMH3HWUigZ8"",""💰 Donations!A4:N200""),5,6),"""")"),"UPI")</f>
        <v>UPI</v>
      </c>
      <c r="I91" s="82" t="str">
        <f>IFERROR(__xludf.DUMMYFUNCTION("IFERROR(IF(INDEX(IMPORTRANGE(""12PgU-zwv8gBrFfxvJpoPIPcxUHWup-vsxMH3HWUigZ8"",""💰 Donations!A4:N200""),5,7)="""","""",TEXT(INDEX(IMPORTRANGE(""12PgU-zwv8gBrFfxvJpoPIPcxUHWup-vsxMH3HWUigZ8"",""💰 Donations!A4:N200""),5,7),""DD-MM-YYYY"")),"""")"),"31-05-2026")</f>
        <v>31-05-2026</v>
      </c>
      <c r="J91" s="83" t="str">
        <f>IFERROR(__xludf.DUMMYFUNCTION("IFERROR(INDEX(IMPORTRANGE(""12PgU-zwv8gBrFfxvJpoPIPcxUHWup-vsxMH3HWUigZ8"",""💰 Donations!A4:N200""),5,8),"""")"),"Sunil Kumar")</f>
        <v>Sunil Kumar</v>
      </c>
      <c r="K91" s="90" t="str">
        <f>IFERROR(__xludf.DUMMYFUNCTION("IFERROR(INDEX(IMPORTRANGE(""12PgU-zwv8gBrFfxvJpoPIPcxUHWup-vsxMH3HWUigZ8"",""💰 Donations!A4:N200""),5,11),"""")"),"Food Expenses - Breakfast, Lunch, Dinner &amp; 2 variety of Prasadam")</f>
        <v>Food Expenses - Breakfast, Lunch, Dinner &amp; 2 variety of Prasadam</v>
      </c>
      <c r="L91" s="50" t="str">
        <f>IFERROR(__xludf.DUMMYFUNCTION("IFERROR(INDEX(IMPORTRANGE(""12PgU-zwv8gBrFfxvJpoPIPcxUHWup-vsxMH3HWUigZ8"",""💰 Donations!A4:N200""),5,13),"""")"),"Aadi Festival")</f>
        <v>Aadi Festival</v>
      </c>
      <c r="M91" s="83" t="str">
        <f>IFERROR(__xludf.DUMMYFUNCTION("IFERROR(INDEX(IMPORTRANGE(""12PgU-zwv8gBrFfxvJpoPIPcxUHWup-vsxMH3HWUigZ8"",""💰 Donations!A4:N200""),5,14),"""")"),"")</f>
        <v/>
      </c>
      <c r="N91" s="82" t="str">
        <f>IFERROR(__xludf.DUMMYFUNCTION("IFERROR(IF(INDEX(IMPORTRANGE(""12PgU-zwv8gBrFfxvJpoPIPcxUHWup-vsxMH3HWUigZ8"",""💰 Donations!A4:N200""),5,10)="""","""",TEXT(INDEX(IMPORTRANGE(""12PgU-zwv8gBrFfxvJpoPIPcxUHWup-vsxMH3HWUigZ8"",""💰 Donations!A4:N200""),5,10),""DD-MM-YYYY"")),"""")"),"")</f>
        <v/>
      </c>
    </row>
    <row r="92" ht="18.0" customHeight="1">
      <c r="A92" s="22" t="str">
        <f>IFERROR(__xludf.DUMMYFUNCTION("IFERROR(INDEX(IMPORTRANGE(""12PgU-zwv8gBrFfxvJpoPIPcxUHWup-vsxMH3HWUigZ8"",""💰 Donations!A4:N200""),6,1),"""")"),"2026/D/6")</f>
        <v>2026/D/6</v>
      </c>
      <c r="B92" s="91" t="str">
        <f>IFERROR(__xludf.DUMMYFUNCTION("IFERROR(INDEX(IMPORTRANGE(""12PgU-zwv8gBrFfxvJpoPIPcxUHWup-vsxMH3HWUigZ8"",""💰 Donations!A4:N200""),6,2),"""")"),"Srinivasan Nateshan")</f>
        <v>Srinivasan Nateshan</v>
      </c>
      <c r="C92" s="3"/>
      <c r="D92" s="23">
        <f>IFERROR(__xludf.DUMMYFUNCTION("IFERROR(IFERROR(INDEX(IMPORTRANGE(""12PgU-zwv8gBrFfxvJpoPIPcxUHWup-vsxMH3HWUigZ8"",""💰 Donations!A4:N200""),6,3)*1,0),0)"),6000.0)</f>
        <v>6000</v>
      </c>
      <c r="E92" s="40">
        <f>IFERROR(__xludf.DUMMYFUNCTION("IFERROR(IFERROR(INDEX(IMPORTRANGE(""12PgU-zwv8gBrFfxvJpoPIPcxUHWup-vsxMH3HWUigZ8"",""💰 Donations!A4:N200""),6,4)*1,0),0)"),6000.0)</f>
        <v>6000</v>
      </c>
      <c r="F92" s="24">
        <f t="shared" si="5"/>
        <v>0</v>
      </c>
      <c r="G92" s="92" t="str">
        <f t="shared" si="6"/>
        <v>Received</v>
      </c>
      <c r="H92" s="54" t="str">
        <f>IFERROR(__xludf.DUMMYFUNCTION("IFERROR(INDEX(IMPORTRANGE(""12PgU-zwv8gBrFfxvJpoPIPcxUHWup-vsxMH3HWUigZ8"",""💰 Donations!A4:N200""),6,6),"""")"),"Cash")</f>
        <v>Cash</v>
      </c>
      <c r="I92" s="85" t="str">
        <f>IFERROR(__xludf.DUMMYFUNCTION("IFERROR(IF(INDEX(IMPORTRANGE(""12PgU-zwv8gBrFfxvJpoPIPcxUHWup-vsxMH3HWUigZ8"",""💰 Donations!A4:N200""),6,7)="""","""",TEXT(INDEX(IMPORTRANGE(""12PgU-zwv8gBrFfxvJpoPIPcxUHWup-vsxMH3HWUigZ8"",""💰 Donations!A4:N200""),6,7),""DD-MM-YYYY"")),"""")"),"24-05-2026")</f>
        <v>24-05-2026</v>
      </c>
      <c r="J92" s="86" t="str">
        <f>IFERROR(__xludf.DUMMYFUNCTION("IFERROR(INDEX(IMPORTRANGE(""12PgU-zwv8gBrFfxvJpoPIPcxUHWup-vsxMH3HWUigZ8"",""💰 Donations!A4:N200""),6,8),"""")"),"Sunil Kumar")</f>
        <v>Sunil Kumar</v>
      </c>
      <c r="K92" s="93" t="str">
        <f>IFERROR(__xludf.DUMMYFUNCTION("IFERROR(INDEX(IMPORTRANGE(""12PgU-zwv8gBrFfxvJpoPIPcxUHWup-vsxMH3HWUigZ8"",""💰 Donations!A4:N200""),6,11),"""")"),"Photography")</f>
        <v>Photography</v>
      </c>
      <c r="L92" s="54" t="str">
        <f>IFERROR(__xludf.DUMMYFUNCTION("IFERROR(INDEX(IMPORTRANGE(""12PgU-zwv8gBrFfxvJpoPIPcxUHWup-vsxMH3HWUigZ8"",""💰 Donations!A4:N200""),6,13),"""")"),"Aadi Festival")</f>
        <v>Aadi Festival</v>
      </c>
      <c r="M92" s="86" t="str">
        <f>IFERROR(__xludf.DUMMYFUNCTION("IFERROR(INDEX(IMPORTRANGE(""12PgU-zwv8gBrFfxvJpoPIPcxUHWup-vsxMH3HWUigZ8"",""💰 Donations!A4:N200""),6,14),"""")"),"")</f>
        <v/>
      </c>
      <c r="N92" s="85" t="str">
        <f>IFERROR(__xludf.DUMMYFUNCTION("IFERROR(IF(INDEX(IMPORTRANGE(""12PgU-zwv8gBrFfxvJpoPIPcxUHWup-vsxMH3HWUigZ8"",""💰 Donations!A4:N200""),6,10)="""","""",TEXT(INDEX(IMPORTRANGE(""12PgU-zwv8gBrFfxvJpoPIPcxUHWup-vsxMH3HWUigZ8"",""💰 Donations!A4:N200""),6,10),""DD-MM-YYYY"")),"""")"),"")</f>
        <v/>
      </c>
    </row>
    <row r="93" ht="18.0" customHeight="1">
      <c r="A93" s="19" t="str">
        <f>IFERROR(__xludf.DUMMYFUNCTION("IFERROR(INDEX(IMPORTRANGE(""12PgU-zwv8gBrFfxvJpoPIPcxUHWup-vsxMH3HWUigZ8"",""💰 Donations!A4:N200""),7,1),"""")"),"2026/D/7")</f>
        <v>2026/D/7</v>
      </c>
      <c r="B93" s="88" t="str">
        <f>IFERROR(__xludf.DUMMYFUNCTION("IFERROR(INDEX(IMPORTRANGE(""12PgU-zwv8gBrFfxvJpoPIPcxUHWup-vsxMH3HWUigZ8"",""💰 Donations!A4:N200""),7,2),"""")"),"D Vasudevan")</f>
        <v>D Vasudevan</v>
      </c>
      <c r="C93" s="3"/>
      <c r="D93" s="20">
        <f>IFERROR(__xludf.DUMMYFUNCTION("IFERROR(IFERROR(INDEX(IMPORTRANGE(""12PgU-zwv8gBrFfxvJpoPIPcxUHWup-vsxMH3HWUigZ8"",""💰 Donations!A4:N200""),7,3)*1,0),0)"),7500.0)</f>
        <v>7500</v>
      </c>
      <c r="E93" s="39">
        <f>IFERROR(__xludf.DUMMYFUNCTION("IFERROR(IFERROR(INDEX(IMPORTRANGE(""12PgU-zwv8gBrFfxvJpoPIPcxUHWup-vsxMH3HWUigZ8"",""💰 Donations!A4:N200""),7,4)*1,0),0)"),0.0)</f>
        <v>0</v>
      </c>
      <c r="F93" s="21">
        <f t="shared" si="5"/>
        <v>7500</v>
      </c>
      <c r="G93" s="89" t="str">
        <f t="shared" si="6"/>
        <v>Pending</v>
      </c>
      <c r="H93" s="50" t="str">
        <f>IFERROR(__xludf.DUMMYFUNCTION("IFERROR(INDEX(IMPORTRANGE(""12PgU-zwv8gBrFfxvJpoPIPcxUHWup-vsxMH3HWUigZ8"",""💰 Donations!A4:N200""),7,6),"""")"),"")</f>
        <v/>
      </c>
      <c r="I93" s="82" t="str">
        <f>IFERROR(__xludf.DUMMYFUNCTION("IFERROR(IF(INDEX(IMPORTRANGE(""12PgU-zwv8gBrFfxvJpoPIPcxUHWup-vsxMH3HWUigZ8"",""💰 Donations!A4:N200""),7,7)="""","""",TEXT(INDEX(IMPORTRANGE(""12PgU-zwv8gBrFfxvJpoPIPcxUHWup-vsxMH3HWUigZ8"",""💰 Donations!A4:N200""),7,7),""DD-MM-YYYY"")),"""")"),"")</f>
        <v/>
      </c>
      <c r="J93" s="83" t="str">
        <f>IFERROR(__xludf.DUMMYFUNCTION("IFERROR(INDEX(IMPORTRANGE(""12PgU-zwv8gBrFfxvJpoPIPcxUHWup-vsxMH3HWUigZ8"",""💰 Donations!A4:N200""),7,8),"""")"),"")</f>
        <v/>
      </c>
      <c r="K93" s="90" t="str">
        <f>IFERROR(__xludf.DUMMYFUNCTION("IFERROR(INDEX(IMPORTRANGE(""12PgU-zwv8gBrFfxvJpoPIPcxUHWup-vsxMH3HWUigZ8"",""💰 Donations!A4:N200""),7,11),"""")"),"Nadaeswaram")</f>
        <v>Nadaeswaram</v>
      </c>
      <c r="L93" s="50" t="str">
        <f>IFERROR(__xludf.DUMMYFUNCTION("IFERROR(INDEX(IMPORTRANGE(""12PgU-zwv8gBrFfxvJpoPIPcxUHWup-vsxMH3HWUigZ8"",""💰 Donations!A4:N200""),7,13),"""")"),"Aadi Festival")</f>
        <v>Aadi Festival</v>
      </c>
      <c r="M93" s="83" t="str">
        <f>IFERROR(__xludf.DUMMYFUNCTION("IFERROR(INDEX(IMPORTRANGE(""12PgU-zwv8gBrFfxvJpoPIPcxUHWup-vsxMH3HWUigZ8"",""💰 Donations!A4:N200""),7,14),"""")"),"")</f>
        <v/>
      </c>
      <c r="N93" s="82" t="str">
        <f>IFERROR(__xludf.DUMMYFUNCTION("IFERROR(IF(INDEX(IMPORTRANGE(""12PgU-zwv8gBrFfxvJpoPIPcxUHWup-vsxMH3HWUigZ8"",""💰 Donations!A4:N200""),7,10)="""","""",TEXT(INDEX(IMPORTRANGE(""12PgU-zwv8gBrFfxvJpoPIPcxUHWup-vsxMH3HWUigZ8"",""💰 Donations!A4:N200""),7,10),""DD-MM-YYYY"")),"""")"),"10-08-2026")</f>
        <v>10-08-2026</v>
      </c>
    </row>
    <row r="94" ht="18.0" customHeight="1">
      <c r="A94" s="22" t="str">
        <f>IFERROR(__xludf.DUMMYFUNCTION("IFERROR(INDEX(IMPORTRANGE(""12PgU-zwv8gBrFfxvJpoPIPcxUHWup-vsxMH3HWUigZ8"",""💰 Donations!A4:N200""),8,1),"""")"),"2026/D/8")</f>
        <v>2026/D/8</v>
      </c>
      <c r="B94" s="91" t="str">
        <f>IFERROR(__xludf.DUMMYFUNCTION("IFERROR(INDEX(IMPORTRANGE(""12PgU-zwv8gBrFfxvJpoPIPcxUHWup-vsxMH3HWUigZ8"",""💰 Donations!A4:N200""),8,2),"""")"),"PRL Srinivasan ")</f>
        <v>PRL Srinivasan </v>
      </c>
      <c r="C94" s="3"/>
      <c r="D94" s="23">
        <f>IFERROR(__xludf.DUMMYFUNCTION("IFERROR(IFERROR(INDEX(IMPORTRANGE(""12PgU-zwv8gBrFfxvJpoPIPcxUHWup-vsxMH3HWUigZ8"",""💰 Donations!A4:N200""),8,3)*1,0),0)"),5500.0)</f>
        <v>5500</v>
      </c>
      <c r="E94" s="40">
        <f>IFERROR(__xludf.DUMMYFUNCTION("IFERROR(IFERROR(INDEX(IMPORTRANGE(""12PgU-zwv8gBrFfxvJpoPIPcxUHWup-vsxMH3HWUigZ8"",""💰 Donations!A4:N200""),8,4)*1,0),0)"),0.0)</f>
        <v>0</v>
      </c>
      <c r="F94" s="24">
        <f t="shared" si="5"/>
        <v>5500</v>
      </c>
      <c r="G94" s="92" t="str">
        <f t="shared" si="6"/>
        <v>Pending</v>
      </c>
      <c r="H94" s="54" t="str">
        <f>IFERROR(__xludf.DUMMYFUNCTION("IFERROR(INDEX(IMPORTRANGE(""12PgU-zwv8gBrFfxvJpoPIPcxUHWup-vsxMH3HWUigZ8"",""💰 Donations!A4:N200""),8,6),"""")"),"")</f>
        <v/>
      </c>
      <c r="I94" s="85" t="str">
        <f>IFERROR(__xludf.DUMMYFUNCTION("IFERROR(IF(INDEX(IMPORTRANGE(""12PgU-zwv8gBrFfxvJpoPIPcxUHWup-vsxMH3HWUigZ8"",""💰 Donations!A4:N200""),8,7)="""","""",TEXT(INDEX(IMPORTRANGE(""12PgU-zwv8gBrFfxvJpoPIPcxUHWup-vsxMH3HWUigZ8"",""💰 Donations!A4:N200""),8,7),""DD-MM-YYYY"")),"""")"),"")</f>
        <v/>
      </c>
      <c r="J94" s="86" t="str">
        <f>IFERROR(__xludf.DUMMYFUNCTION("IFERROR(INDEX(IMPORTRANGE(""12PgU-zwv8gBrFfxvJpoPIPcxUHWup-vsxMH3HWUigZ8"",""💰 Donations!A4:N200""),8,8),"""")"),"")</f>
        <v/>
      </c>
      <c r="K94" s="93" t="str">
        <f>IFERROR(__xludf.DUMMYFUNCTION("IFERROR(INDEX(IMPORTRANGE(""12PgU-zwv8gBrFfxvJpoPIPcxUHWup-vsxMH3HWUigZ8"",""💰 Donations!A4:N200""),8,11),"""")")," Electrical Lighting &amp; Generator, Mic &amp; Sound system")</f>
        <v> Electrical Lighting &amp; Generator, Mic &amp; Sound system</v>
      </c>
      <c r="L94" s="54" t="str">
        <f>IFERROR(__xludf.DUMMYFUNCTION("IFERROR(INDEX(IMPORTRANGE(""12PgU-zwv8gBrFfxvJpoPIPcxUHWup-vsxMH3HWUigZ8"",""💰 Donations!A4:N200""),8,13),"""")"),"Aadi Festival")</f>
        <v>Aadi Festival</v>
      </c>
      <c r="M94" s="86" t="str">
        <f>IFERROR(__xludf.DUMMYFUNCTION("IFERROR(INDEX(IMPORTRANGE(""12PgU-zwv8gBrFfxvJpoPIPcxUHWup-vsxMH3HWUigZ8"",""💰 Donations!A4:N200""),8,14),"""")"),"")</f>
        <v/>
      </c>
      <c r="N94" s="85" t="str">
        <f>IFERROR(__xludf.DUMMYFUNCTION("IFERROR(IF(INDEX(IMPORTRANGE(""12PgU-zwv8gBrFfxvJpoPIPcxUHWup-vsxMH3HWUigZ8"",""💰 Donations!A4:N200""),8,10)="""","""",TEXT(INDEX(IMPORTRANGE(""12PgU-zwv8gBrFfxvJpoPIPcxUHWup-vsxMH3HWUigZ8"",""💰 Donations!A4:N200""),8,10),""DD-MM-YYYY"")),"""")"),"10-08-2026")</f>
        <v>10-08-2026</v>
      </c>
    </row>
    <row r="95" ht="18.0" customHeight="1">
      <c r="A95" s="19" t="str">
        <f>IFERROR(__xludf.DUMMYFUNCTION("IFERROR(INDEX(IMPORTRANGE(""12PgU-zwv8gBrFfxvJpoPIPcxUHWup-vsxMH3HWUigZ8"",""💰 Donations!A4:N200""),9,1),"""")"),"2026/D/9")</f>
        <v>2026/D/9</v>
      </c>
      <c r="B95" s="88" t="str">
        <f>IFERROR(__xludf.DUMMYFUNCTION("IFERROR(INDEX(IMPORTRANGE(""12PgU-zwv8gBrFfxvJpoPIPcxUHWup-vsxMH3HWUigZ8"",""💰 Donations!A4:N200""),9,2),"""")"),"R. Rukumagadhan")</f>
        <v>R. Rukumagadhan</v>
      </c>
      <c r="C95" s="3"/>
      <c r="D95" s="20">
        <f>IFERROR(__xludf.DUMMYFUNCTION("IFERROR(IFERROR(INDEX(IMPORTRANGE(""12PgU-zwv8gBrFfxvJpoPIPcxUHWup-vsxMH3HWUigZ8"",""💰 Donations!A4:N200""),9,3)*1,0),0)"),5500.0)</f>
        <v>5500</v>
      </c>
      <c r="E95" s="39">
        <f>IFERROR(__xludf.DUMMYFUNCTION("IFERROR(IFERROR(INDEX(IMPORTRANGE(""12PgU-zwv8gBrFfxvJpoPIPcxUHWup-vsxMH3HWUigZ8"",""💰 Donations!A4:N200""),9,4)*1,0),0)"),0.0)</f>
        <v>0</v>
      </c>
      <c r="F95" s="21">
        <f t="shared" si="5"/>
        <v>5500</v>
      </c>
      <c r="G95" s="89" t="str">
        <f t="shared" si="6"/>
        <v>Pending</v>
      </c>
      <c r="H95" s="50" t="str">
        <f>IFERROR(__xludf.DUMMYFUNCTION("IFERROR(INDEX(IMPORTRANGE(""12PgU-zwv8gBrFfxvJpoPIPcxUHWup-vsxMH3HWUigZ8"",""💰 Donations!A4:N200""),9,6),"""")"),"")</f>
        <v/>
      </c>
      <c r="I95" s="82" t="str">
        <f>IFERROR(__xludf.DUMMYFUNCTION("IFERROR(IF(INDEX(IMPORTRANGE(""12PgU-zwv8gBrFfxvJpoPIPcxUHWup-vsxMH3HWUigZ8"",""💰 Donations!A4:N200""),9,7)="""","""",TEXT(INDEX(IMPORTRANGE(""12PgU-zwv8gBrFfxvJpoPIPcxUHWup-vsxMH3HWUigZ8"",""💰 Donations!A4:N200""),9,7),""DD-MM-YYYY"")),"""")"),"")</f>
        <v/>
      </c>
      <c r="J95" s="83" t="str">
        <f>IFERROR(__xludf.DUMMYFUNCTION("IFERROR(INDEX(IMPORTRANGE(""12PgU-zwv8gBrFfxvJpoPIPcxUHWup-vsxMH3HWUigZ8"",""💰 Donations!A4:N200""),9,8),"""")"),"")</f>
        <v/>
      </c>
      <c r="K95" s="90" t="str">
        <f>IFERROR(__xludf.DUMMYFUNCTION("IFERROR(INDEX(IMPORTRANGE(""12PgU-zwv8gBrFfxvJpoPIPcxUHWup-vsxMH3HWUigZ8"",""💰 Donations!A4:N200""),9,11),"""")")," Electrical Lighting &amp; Generator, Mic &amp; Sound system")</f>
        <v> Electrical Lighting &amp; Generator, Mic &amp; Sound system</v>
      </c>
      <c r="L95" s="50" t="str">
        <f>IFERROR(__xludf.DUMMYFUNCTION("IFERROR(INDEX(IMPORTRANGE(""12PgU-zwv8gBrFfxvJpoPIPcxUHWup-vsxMH3HWUigZ8"",""💰 Donations!A4:N200""),9,13),"""")"),"Aadi Festival")</f>
        <v>Aadi Festival</v>
      </c>
      <c r="M95" s="83" t="str">
        <f>IFERROR(__xludf.DUMMYFUNCTION("IFERROR(INDEX(IMPORTRANGE(""12PgU-zwv8gBrFfxvJpoPIPcxUHWup-vsxMH3HWUigZ8"",""💰 Donations!A4:N200""),9,14),"""")"),"")</f>
        <v/>
      </c>
      <c r="N95" s="82" t="str">
        <f>IFERROR(__xludf.DUMMYFUNCTION("IFERROR(IF(INDEX(IMPORTRANGE(""12PgU-zwv8gBrFfxvJpoPIPcxUHWup-vsxMH3HWUigZ8"",""💰 Donations!A4:N200""),9,10)="""","""",TEXT(INDEX(IMPORTRANGE(""12PgU-zwv8gBrFfxvJpoPIPcxUHWup-vsxMH3HWUigZ8"",""💰 Donations!A4:N200""),9,10),""DD-MM-YYYY"")),"""")"),"10-08-2026")</f>
        <v>10-08-2026</v>
      </c>
    </row>
    <row r="96" ht="18.0" customHeight="1">
      <c r="A96" s="22" t="str">
        <f>IFERROR(__xludf.DUMMYFUNCTION("IFERROR(INDEX(IMPORTRANGE(""12PgU-zwv8gBrFfxvJpoPIPcxUHWup-vsxMH3HWUigZ8"",""💰 Donations!A4:N200""),10,1),"""")"),"2026/D/10")</f>
        <v>2026/D/10</v>
      </c>
      <c r="B96" s="91" t="str">
        <f>IFERROR(__xludf.DUMMYFUNCTION("IFERROR(INDEX(IMPORTRANGE(""12PgU-zwv8gBrFfxvJpoPIPcxUHWup-vsxMH3HWUigZ8"",""💰 Donations!A4:N200""),10,2),"""")"),"Srinivasan V")</f>
        <v>Srinivasan V</v>
      </c>
      <c r="C96" s="3"/>
      <c r="D96" s="23">
        <f>IFERROR(__xludf.DUMMYFUNCTION("IFERROR(IFERROR(INDEX(IMPORTRANGE(""12PgU-zwv8gBrFfxvJpoPIPcxUHWup-vsxMH3HWUigZ8"",""💰 Donations!A4:N200""),10,3)*1,0),0)"),5500.0)</f>
        <v>5500</v>
      </c>
      <c r="E96" s="40">
        <f>IFERROR(__xludf.DUMMYFUNCTION("IFERROR(IFERROR(INDEX(IMPORTRANGE(""12PgU-zwv8gBrFfxvJpoPIPcxUHWup-vsxMH3HWUigZ8"",""💰 Donations!A4:N200""),10,4)*1,0),0)"),0.0)</f>
        <v>0</v>
      </c>
      <c r="F96" s="24">
        <f t="shared" si="5"/>
        <v>5500</v>
      </c>
      <c r="G96" s="92" t="str">
        <f t="shared" si="6"/>
        <v>Pending</v>
      </c>
      <c r="H96" s="54" t="str">
        <f>IFERROR(__xludf.DUMMYFUNCTION("IFERROR(INDEX(IMPORTRANGE(""12PgU-zwv8gBrFfxvJpoPIPcxUHWup-vsxMH3HWUigZ8"",""💰 Donations!A4:N200""),10,6),"""")"),"")</f>
        <v/>
      </c>
      <c r="I96" s="85" t="str">
        <f>IFERROR(__xludf.DUMMYFUNCTION("IFERROR(IF(INDEX(IMPORTRANGE(""12PgU-zwv8gBrFfxvJpoPIPcxUHWup-vsxMH3HWUigZ8"",""💰 Donations!A4:N200""),10,7)="""","""",TEXT(INDEX(IMPORTRANGE(""12PgU-zwv8gBrFfxvJpoPIPcxUHWup-vsxMH3HWUigZ8"",""💰 Donations!A4:N200""),10,7),""DD-MM-YYYY"")),"""")"),"")</f>
        <v/>
      </c>
      <c r="J96" s="86" t="str">
        <f>IFERROR(__xludf.DUMMYFUNCTION("IFERROR(INDEX(IMPORTRANGE(""12PgU-zwv8gBrFfxvJpoPIPcxUHWup-vsxMH3HWUigZ8"",""💰 Donations!A4:N200""),10,8),"""")"),"")</f>
        <v/>
      </c>
      <c r="K96" s="93" t="str">
        <f>IFERROR(__xludf.DUMMYFUNCTION("IFERROR(INDEX(IMPORTRANGE(""12PgU-zwv8gBrFfxvJpoPIPcxUHWup-vsxMH3HWUigZ8"",""💰 Donations!A4:N200""),10,11),"""")"),"Shamiana, Table, Chairs &amp; Vessels")</f>
        <v>Shamiana, Table, Chairs &amp; Vessels</v>
      </c>
      <c r="L96" s="54" t="str">
        <f>IFERROR(__xludf.DUMMYFUNCTION("IFERROR(INDEX(IMPORTRANGE(""12PgU-zwv8gBrFfxvJpoPIPcxUHWup-vsxMH3HWUigZ8"",""💰 Donations!A4:N200""),10,13),"""")"),"Aadi Festival")</f>
        <v>Aadi Festival</v>
      </c>
      <c r="M96" s="86" t="str">
        <f>IFERROR(__xludf.DUMMYFUNCTION("IFERROR(INDEX(IMPORTRANGE(""12PgU-zwv8gBrFfxvJpoPIPcxUHWup-vsxMH3HWUigZ8"",""💰 Donations!A4:N200""),10,14),"""")"),"")</f>
        <v/>
      </c>
      <c r="N96" s="85" t="str">
        <f>IFERROR(__xludf.DUMMYFUNCTION("IFERROR(IF(INDEX(IMPORTRANGE(""12PgU-zwv8gBrFfxvJpoPIPcxUHWup-vsxMH3HWUigZ8"",""💰 Donations!A4:N200""),10,10)="""","""",TEXT(INDEX(IMPORTRANGE(""12PgU-zwv8gBrFfxvJpoPIPcxUHWup-vsxMH3HWUigZ8"",""💰 Donations!A4:N200""),10,10),""DD-MM-YYYY"")),"""")"),"10-08-2026")</f>
        <v>10-08-2026</v>
      </c>
    </row>
    <row r="97" ht="18.0" customHeight="1">
      <c r="A97" s="19" t="str">
        <f>IFERROR(__xludf.DUMMYFUNCTION("IFERROR(INDEX(IMPORTRANGE(""12PgU-zwv8gBrFfxvJpoPIPcxUHWup-vsxMH3HWUigZ8"",""💰 Donations!A4:N200""),11,1),"""")"),"2026/D/11")</f>
        <v>2026/D/11</v>
      </c>
      <c r="B97" s="88" t="str">
        <f>IFERROR(__xludf.DUMMYFUNCTION("IFERROR(INDEX(IMPORTRANGE(""12PgU-zwv8gBrFfxvJpoPIPcxUHWup-vsxMH3HWUigZ8"",""💰 Donations!A4:N200""),11,2),"""")"),"Nateshan Andal")</f>
        <v>Nateshan Andal</v>
      </c>
      <c r="C97" s="3"/>
      <c r="D97" s="20">
        <f>IFERROR(__xludf.DUMMYFUNCTION("IFERROR(IFERROR(INDEX(IMPORTRANGE(""12PgU-zwv8gBrFfxvJpoPIPcxUHWup-vsxMH3HWUigZ8"",""💰 Donations!A4:N200""),11,3)*1,0),0)"),1000.0)</f>
        <v>1000</v>
      </c>
      <c r="E97" s="39">
        <f>IFERROR(__xludf.DUMMYFUNCTION("IFERROR(IFERROR(INDEX(IMPORTRANGE(""12PgU-zwv8gBrFfxvJpoPIPcxUHWup-vsxMH3HWUigZ8"",""💰 Donations!A4:N200""),11,4)*1,0),0)"),1000.0)</f>
        <v>1000</v>
      </c>
      <c r="F97" s="21">
        <f t="shared" si="5"/>
        <v>0</v>
      </c>
      <c r="G97" s="89" t="str">
        <f t="shared" si="6"/>
        <v>Received</v>
      </c>
      <c r="H97" s="50" t="str">
        <f>IFERROR(__xludf.DUMMYFUNCTION("IFERROR(INDEX(IMPORTRANGE(""12PgU-zwv8gBrFfxvJpoPIPcxUHWup-vsxMH3HWUigZ8"",""💰 Donations!A4:N200""),11,6),"""")"),"UPI")</f>
        <v>UPI</v>
      </c>
      <c r="I97" s="82" t="str">
        <f>IFERROR(__xludf.DUMMYFUNCTION("IFERROR(IF(INDEX(IMPORTRANGE(""12PgU-zwv8gBrFfxvJpoPIPcxUHWup-vsxMH3HWUigZ8"",""💰 Donations!A4:N200""),11,7)="""","""",TEXT(INDEX(IMPORTRANGE(""12PgU-zwv8gBrFfxvJpoPIPcxUHWup-vsxMH3HWUigZ8"",""💰 Donations!A4:N200""),11,7),""DD-MM-YYYY"")),"""")"),"24-05-2026")</f>
        <v>24-05-2026</v>
      </c>
      <c r="J97" s="83" t="str">
        <f>IFERROR(__xludf.DUMMYFUNCTION("IFERROR(INDEX(IMPORTRANGE(""12PgU-zwv8gBrFfxvJpoPIPcxUHWup-vsxMH3HWUigZ8"",""💰 Donations!A4:N200""),11,8),"""")"),"Sunil Kumar")</f>
        <v>Sunil Kumar</v>
      </c>
      <c r="K97" s="90" t="str">
        <f>IFERROR(__xludf.DUMMYFUNCTION("IFERROR(INDEX(IMPORTRANGE(""12PgU-zwv8gBrFfxvJpoPIPcxUHWup-vsxMH3HWUigZ8"",""💰 Donations!A4:N200""),11,11),"""")"),"Plantian Leaf 2 Nos.")</f>
        <v>Plantian Leaf 2 Nos.</v>
      </c>
      <c r="L97" s="50" t="str">
        <f>IFERROR(__xludf.DUMMYFUNCTION("IFERROR(INDEX(IMPORTRANGE(""12PgU-zwv8gBrFfxvJpoPIPcxUHWup-vsxMH3HWUigZ8"",""💰 Donations!A4:N200""),11,13),"""")"),"Aadi Festival")</f>
        <v>Aadi Festival</v>
      </c>
      <c r="M97" s="83" t="str">
        <f>IFERROR(__xludf.DUMMYFUNCTION("IFERROR(INDEX(IMPORTRANGE(""12PgU-zwv8gBrFfxvJpoPIPcxUHWup-vsxMH3HWUigZ8"",""💰 Donations!A4:N200""),11,14),"""")"),"")</f>
        <v/>
      </c>
      <c r="N97" s="82" t="str">
        <f>IFERROR(__xludf.DUMMYFUNCTION("IFERROR(IF(INDEX(IMPORTRANGE(""12PgU-zwv8gBrFfxvJpoPIPcxUHWup-vsxMH3HWUigZ8"",""💰 Donations!A4:N200""),11,10)="""","""",TEXT(INDEX(IMPORTRANGE(""12PgU-zwv8gBrFfxvJpoPIPcxUHWup-vsxMH3HWUigZ8"",""💰 Donations!A4:N200""),11,10),""DD-MM-YYYY"")),"""")"),"")</f>
        <v/>
      </c>
    </row>
    <row r="98" ht="18.0" customHeight="1">
      <c r="A98" s="22" t="str">
        <f>IFERROR(__xludf.DUMMYFUNCTION("IFERROR(INDEX(IMPORTRANGE(""12PgU-zwv8gBrFfxvJpoPIPcxUHWup-vsxMH3HWUigZ8"",""💰 Donations!A4:N200""),12,1),"""")"),"2026/D/12")</f>
        <v>2026/D/12</v>
      </c>
      <c r="B98" s="91" t="str">
        <f>IFERROR(__xludf.DUMMYFUNCTION("IFERROR(INDEX(IMPORTRANGE(""12PgU-zwv8gBrFfxvJpoPIPcxUHWup-vsxMH3HWUigZ8"",""💰 Donations!A4:N200""),12,2),"""")"),"Mohan Aishwarya")</f>
        <v>Mohan Aishwarya</v>
      </c>
      <c r="C98" s="3"/>
      <c r="D98" s="23">
        <f>IFERROR(__xludf.DUMMYFUNCTION("IFERROR(IFERROR(INDEX(IMPORTRANGE(""12PgU-zwv8gBrFfxvJpoPIPcxUHWup-vsxMH3HWUigZ8"",""💰 Donations!A4:N200""),12,3)*1,0),0)"),1000.0)</f>
        <v>1000</v>
      </c>
      <c r="E98" s="40">
        <f>IFERROR(__xludf.DUMMYFUNCTION("IFERROR(IFERROR(INDEX(IMPORTRANGE(""12PgU-zwv8gBrFfxvJpoPIPcxUHWup-vsxMH3HWUigZ8"",""💰 Donations!A4:N200""),12,4)*1,0),0)"),1000.0)</f>
        <v>1000</v>
      </c>
      <c r="F98" s="24">
        <f t="shared" si="5"/>
        <v>0</v>
      </c>
      <c r="G98" s="92" t="str">
        <f t="shared" si="6"/>
        <v>Received</v>
      </c>
      <c r="H98" s="54" t="str">
        <f>IFERROR(__xludf.DUMMYFUNCTION("IFERROR(INDEX(IMPORTRANGE(""12PgU-zwv8gBrFfxvJpoPIPcxUHWup-vsxMH3HWUigZ8"",""💰 Donations!A4:N200""),12,6),"""")"),"UPI")</f>
        <v>UPI</v>
      </c>
      <c r="I98" s="85" t="str">
        <f>IFERROR(__xludf.DUMMYFUNCTION("IFERROR(IF(INDEX(IMPORTRANGE(""12PgU-zwv8gBrFfxvJpoPIPcxUHWup-vsxMH3HWUigZ8"",""💰 Donations!A4:N200""),12,7)="""","""",TEXT(INDEX(IMPORTRANGE(""12PgU-zwv8gBrFfxvJpoPIPcxUHWup-vsxMH3HWUigZ8"",""💰 Donations!A4:N200""),12,7),""DD-MM-YYYY"")),"""")"),"24-05-2026")</f>
        <v>24-05-2026</v>
      </c>
      <c r="J98" s="86" t="str">
        <f>IFERROR(__xludf.DUMMYFUNCTION("IFERROR(INDEX(IMPORTRANGE(""12PgU-zwv8gBrFfxvJpoPIPcxUHWup-vsxMH3HWUigZ8"",""💰 Donations!A4:N200""),12,8),"""")"),"Sunil Kumar")</f>
        <v>Sunil Kumar</v>
      </c>
      <c r="K98" s="93" t="str">
        <f>IFERROR(__xludf.DUMMYFUNCTION("IFERROR(INDEX(IMPORTRANGE(""12PgU-zwv8gBrFfxvJpoPIPcxUHWup-vsxMH3HWUigZ8"",""💰 Donations!A4:N200""),12,11),"""")"),"Supply of water")</f>
        <v>Supply of water</v>
      </c>
      <c r="L98" s="54" t="str">
        <f>IFERROR(__xludf.DUMMYFUNCTION("IFERROR(INDEX(IMPORTRANGE(""12PgU-zwv8gBrFfxvJpoPIPcxUHWup-vsxMH3HWUigZ8"",""💰 Donations!A4:N200""),12,13),"""")"),"Aadi Festival")</f>
        <v>Aadi Festival</v>
      </c>
      <c r="M98" s="86" t="str">
        <f>IFERROR(__xludf.DUMMYFUNCTION("IFERROR(INDEX(IMPORTRANGE(""12PgU-zwv8gBrFfxvJpoPIPcxUHWup-vsxMH3HWUigZ8"",""💰 Donations!A4:N200""),12,14),"""")"),"")</f>
        <v/>
      </c>
      <c r="N98" s="85" t="str">
        <f>IFERROR(__xludf.DUMMYFUNCTION("IFERROR(IF(INDEX(IMPORTRANGE(""12PgU-zwv8gBrFfxvJpoPIPcxUHWup-vsxMH3HWUigZ8"",""💰 Donations!A4:N200""),12,10)="""","""",TEXT(INDEX(IMPORTRANGE(""12PgU-zwv8gBrFfxvJpoPIPcxUHWup-vsxMH3HWUigZ8"",""💰 Donations!A4:N200""),12,10),""DD-MM-YYYY"")),"""")"),"")</f>
        <v/>
      </c>
    </row>
    <row r="99" ht="18.0" customHeight="1">
      <c r="A99" s="19" t="str">
        <f>IFERROR(__xludf.DUMMYFUNCTION("IFERROR(INDEX(IMPORTRANGE(""12PgU-zwv8gBrFfxvJpoPIPcxUHWup-vsxMH3HWUigZ8"",""💰 Donations!A4:N200""),13,1),"""")"),"2026/D/13")</f>
        <v>2026/D/13</v>
      </c>
      <c r="B99" s="88" t="str">
        <f>IFERROR(__xludf.DUMMYFUNCTION("IFERROR(INDEX(IMPORTRANGE(""12PgU-zwv8gBrFfxvJpoPIPcxUHWup-vsxMH3HWUigZ8"",""💰 Donations!A4:N200""),13,2),"""")"),"Uday Kumar D")</f>
        <v>Uday Kumar D</v>
      </c>
      <c r="C99" s="3"/>
      <c r="D99" s="20">
        <f>IFERROR(__xludf.DUMMYFUNCTION("IFERROR(IFERROR(INDEX(IMPORTRANGE(""12PgU-zwv8gBrFfxvJpoPIPcxUHWup-vsxMH3HWUigZ8"",""💰 Donations!A4:N200""),13,3)*1,0),0)"),3000.0)</f>
        <v>3000</v>
      </c>
      <c r="E99" s="39">
        <f>IFERROR(__xludf.DUMMYFUNCTION("IFERROR(IFERROR(INDEX(IMPORTRANGE(""12PgU-zwv8gBrFfxvJpoPIPcxUHWup-vsxMH3HWUigZ8"",""💰 Donations!A4:N200""),13,4)*1,0),0)"),3000.0)</f>
        <v>3000</v>
      </c>
      <c r="F99" s="21">
        <f t="shared" si="5"/>
        <v>0</v>
      </c>
      <c r="G99" s="89" t="str">
        <f t="shared" si="6"/>
        <v>Received</v>
      </c>
      <c r="H99" s="50" t="str">
        <f>IFERROR(__xludf.DUMMYFUNCTION("IFERROR(INDEX(IMPORTRANGE(""12PgU-zwv8gBrFfxvJpoPIPcxUHWup-vsxMH3HWUigZ8"",""💰 Donations!A4:N200""),13,6),"""")"),"UPI")</f>
        <v>UPI</v>
      </c>
      <c r="I99" s="82" t="str">
        <f>IFERROR(__xludf.DUMMYFUNCTION("IFERROR(IF(INDEX(IMPORTRANGE(""12PgU-zwv8gBrFfxvJpoPIPcxUHWup-vsxMH3HWUigZ8"",""💰 Donations!A4:N200""),13,7)="""","""",TEXT(INDEX(IMPORTRANGE(""12PgU-zwv8gBrFfxvJpoPIPcxUHWup-vsxMH3HWUigZ8"",""💰 Donations!A4:N200""),13,7),""DD-MM-YYYY"")),"""")"),"24-05-2026")</f>
        <v>24-05-2026</v>
      </c>
      <c r="J99" s="83" t="str">
        <f>IFERROR(__xludf.DUMMYFUNCTION("IFERROR(INDEX(IMPORTRANGE(""12PgU-zwv8gBrFfxvJpoPIPcxUHWup-vsxMH3HWUigZ8"",""💰 Donations!A4:N200""),13,8),"""")"),"Sunil Kumar")</f>
        <v>Sunil Kumar</v>
      </c>
      <c r="K99" s="90" t="str">
        <f>IFERROR(__xludf.DUMMYFUNCTION("IFERROR(INDEX(IMPORTRANGE(""12PgU-zwv8gBrFfxvJpoPIPcxUHWup-vsxMH3HWUigZ8"",""💰 Donations!A4:N200""),13,11),"""")"),"Plate/cups Roll etc.")</f>
        <v>Plate/cups Roll etc.</v>
      </c>
      <c r="L99" s="50" t="str">
        <f>IFERROR(__xludf.DUMMYFUNCTION("IFERROR(INDEX(IMPORTRANGE(""12PgU-zwv8gBrFfxvJpoPIPcxUHWup-vsxMH3HWUigZ8"",""💰 Donations!A4:N200""),13,13),"""")"),"Aadi Festival")</f>
        <v>Aadi Festival</v>
      </c>
      <c r="M99" s="83" t="str">
        <f>IFERROR(__xludf.DUMMYFUNCTION("IFERROR(INDEX(IMPORTRANGE(""12PgU-zwv8gBrFfxvJpoPIPcxUHWup-vsxMH3HWUigZ8"",""💰 Donations!A4:N200""),13,14),"""")"),"")</f>
        <v/>
      </c>
      <c r="N99" s="82" t="str">
        <f>IFERROR(__xludf.DUMMYFUNCTION("IFERROR(IF(INDEX(IMPORTRANGE(""12PgU-zwv8gBrFfxvJpoPIPcxUHWup-vsxMH3HWUigZ8"",""💰 Donations!A4:N200""),13,10)="""","""",TEXT(INDEX(IMPORTRANGE(""12PgU-zwv8gBrFfxvJpoPIPcxUHWup-vsxMH3HWUigZ8"",""💰 Donations!A4:N200""),13,10),""DD-MM-YYYY"")),"""")"),"")</f>
        <v/>
      </c>
    </row>
    <row r="100" ht="18.0" customHeight="1">
      <c r="A100" s="22" t="str">
        <f>IFERROR(__xludf.DUMMYFUNCTION("IFERROR(INDEX(IMPORTRANGE(""12PgU-zwv8gBrFfxvJpoPIPcxUHWup-vsxMH3HWUigZ8"",""💰 Donations!A4:N200""),14,1),"""")"),"2026/D/14")</f>
        <v>2026/D/14</v>
      </c>
      <c r="B100" s="91" t="str">
        <f>IFERROR(__xludf.DUMMYFUNCTION("IFERROR(INDEX(IMPORTRANGE(""12PgU-zwv8gBrFfxvJpoPIPcxUHWup-vsxMH3HWUigZ8"",""💰 Donations!A4:N200""),14,2),"""")"),"Shalini S")</f>
        <v>Shalini S</v>
      </c>
      <c r="C100" s="3"/>
      <c r="D100" s="23">
        <f>IFERROR(__xludf.DUMMYFUNCTION("IFERROR(IFERROR(INDEX(IMPORTRANGE(""12PgU-zwv8gBrFfxvJpoPIPcxUHWup-vsxMH3HWUigZ8"",""💰 Donations!A4:N200""),14,3)*1,0),0)"),1000.0)</f>
        <v>1000</v>
      </c>
      <c r="E100" s="40">
        <f>IFERROR(__xludf.DUMMYFUNCTION("IFERROR(IFERROR(INDEX(IMPORTRANGE(""12PgU-zwv8gBrFfxvJpoPIPcxUHWup-vsxMH3HWUigZ8"",""💰 Donations!A4:N200""),14,4)*1,0),0)"),1000.0)</f>
        <v>1000</v>
      </c>
      <c r="F100" s="24">
        <f t="shared" si="5"/>
        <v>0</v>
      </c>
      <c r="G100" s="92" t="str">
        <f t="shared" si="6"/>
        <v>Received</v>
      </c>
      <c r="H100" s="54" t="str">
        <f>IFERROR(__xludf.DUMMYFUNCTION("IFERROR(INDEX(IMPORTRANGE(""12PgU-zwv8gBrFfxvJpoPIPcxUHWup-vsxMH3HWUigZ8"",""💰 Donations!A4:N200""),14,6),"""")"),"UPI")</f>
        <v>UPI</v>
      </c>
      <c r="I100" s="85" t="str">
        <f>IFERROR(__xludf.DUMMYFUNCTION("IFERROR(IF(INDEX(IMPORTRANGE(""12PgU-zwv8gBrFfxvJpoPIPcxUHWup-vsxMH3HWUigZ8"",""💰 Donations!A4:N200""),14,7)="""","""",TEXT(INDEX(IMPORTRANGE(""12PgU-zwv8gBrFfxvJpoPIPcxUHWup-vsxMH3HWUigZ8"",""💰 Donations!A4:N200""),14,7),""DD-MM-YYYY"")),"""")"),"24-05-2026")</f>
        <v>24-05-2026</v>
      </c>
      <c r="J100" s="86" t="str">
        <f>IFERROR(__xludf.DUMMYFUNCTION("IFERROR(INDEX(IMPORTRANGE(""12PgU-zwv8gBrFfxvJpoPIPcxUHWup-vsxMH3HWUigZ8"",""💰 Donations!A4:N200""),14,8),"""")"),"Sunil Kumar")</f>
        <v>Sunil Kumar</v>
      </c>
      <c r="K100" s="93" t="str">
        <f>IFERROR(__xludf.DUMMYFUNCTION("IFERROR(INDEX(IMPORTRANGE(""12PgU-zwv8gBrFfxvJpoPIPcxUHWup-vsxMH3HWUigZ8"",""💰 Donations!A4:N200""),14,11),"""")"),"Night Sweets")</f>
        <v>Night Sweets</v>
      </c>
      <c r="L100" s="54" t="str">
        <f>IFERROR(__xludf.DUMMYFUNCTION("IFERROR(INDEX(IMPORTRANGE(""12PgU-zwv8gBrFfxvJpoPIPcxUHWup-vsxMH3HWUigZ8"",""💰 Donations!A4:N200""),14,13),"""")"),"Aadi Festival")</f>
        <v>Aadi Festival</v>
      </c>
      <c r="M100" s="86" t="str">
        <f>IFERROR(__xludf.DUMMYFUNCTION("IFERROR(INDEX(IMPORTRANGE(""12PgU-zwv8gBrFfxvJpoPIPcxUHWup-vsxMH3HWUigZ8"",""💰 Donations!A4:N200""),14,14),"""")"),"")</f>
        <v/>
      </c>
      <c r="N100" s="85" t="str">
        <f>IFERROR(__xludf.DUMMYFUNCTION("IFERROR(IF(INDEX(IMPORTRANGE(""12PgU-zwv8gBrFfxvJpoPIPcxUHWup-vsxMH3HWUigZ8"",""💰 Donations!A4:N200""),14,10)="""","""",TEXT(INDEX(IMPORTRANGE(""12PgU-zwv8gBrFfxvJpoPIPcxUHWup-vsxMH3HWUigZ8"",""💰 Donations!A4:N200""),14,10),""DD-MM-YYYY"")),"""")"),"")</f>
        <v/>
      </c>
    </row>
    <row r="101" ht="18.0" customHeight="1">
      <c r="A101" s="19" t="str">
        <f>IFERROR(__xludf.DUMMYFUNCTION("IFERROR(INDEX(IMPORTRANGE(""12PgU-zwv8gBrFfxvJpoPIPcxUHWup-vsxMH3HWUigZ8"",""💰 Donations!A4:N200""),15,1),"""")"),"2026/D/15")</f>
        <v>2026/D/15</v>
      </c>
      <c r="B101" s="88" t="str">
        <f>IFERROR(__xludf.DUMMYFUNCTION("IFERROR(INDEX(IMPORTRANGE(""12PgU-zwv8gBrFfxvJpoPIPcxUHWup-vsxMH3HWUigZ8"",""💰 Donations!A4:N200""),15,2),"""")"),"Devi D")</f>
        <v>Devi D</v>
      </c>
      <c r="C101" s="3"/>
      <c r="D101" s="20">
        <f>IFERROR(__xludf.DUMMYFUNCTION("IFERROR(IFERROR(INDEX(IMPORTRANGE(""12PgU-zwv8gBrFfxvJpoPIPcxUHWup-vsxMH3HWUigZ8"",""💰 Donations!A4:N200""),15,3)*1,0),0)"),8000.0)</f>
        <v>8000</v>
      </c>
      <c r="E101" s="39">
        <f>IFERROR(__xludf.DUMMYFUNCTION("IFERROR(IFERROR(INDEX(IMPORTRANGE(""12PgU-zwv8gBrFfxvJpoPIPcxUHWup-vsxMH3HWUigZ8"",""💰 Donations!A4:N200""),15,4)*1,0),0)"),8000.0)</f>
        <v>8000</v>
      </c>
      <c r="F101" s="21">
        <f t="shared" si="5"/>
        <v>0</v>
      </c>
      <c r="G101" s="89" t="str">
        <f t="shared" si="6"/>
        <v>Received</v>
      </c>
      <c r="H101" s="50" t="str">
        <f>IFERROR(__xludf.DUMMYFUNCTION("IFERROR(INDEX(IMPORTRANGE(""12PgU-zwv8gBrFfxvJpoPIPcxUHWup-vsxMH3HWUigZ8"",""💰 Donations!A4:N200""),15,6),"""")"),"UPI")</f>
        <v>UPI</v>
      </c>
      <c r="I101" s="82" t="str">
        <f>IFERROR(__xludf.DUMMYFUNCTION("IFERROR(IF(INDEX(IMPORTRANGE(""12PgU-zwv8gBrFfxvJpoPIPcxUHWup-vsxMH3HWUigZ8"",""💰 Donations!A4:N200""),15,7)="""","""",TEXT(INDEX(IMPORTRANGE(""12PgU-zwv8gBrFfxvJpoPIPcxUHWup-vsxMH3HWUigZ8"",""💰 Donations!A4:N200""),15,7),""DD-MM-YYYY"")),"""")"),"24-05-2026")</f>
        <v>24-05-2026</v>
      </c>
      <c r="J101" s="83" t="str">
        <f>IFERROR(__xludf.DUMMYFUNCTION("IFERROR(INDEX(IMPORTRANGE(""12PgU-zwv8gBrFfxvJpoPIPcxUHWup-vsxMH3HWUigZ8"",""💰 Donations!A4:N200""),15,8),"""")"),"Sunil Kumar")</f>
        <v>Sunil Kumar</v>
      </c>
      <c r="K101" s="90" t="str">
        <f>IFERROR(__xludf.DUMMYFUNCTION("IFERROR(INDEX(IMPORTRANGE(""12PgU-zwv8gBrFfxvJpoPIPcxUHWup-vsxMH3HWUigZ8"",""💰 Donations!A4:N200""),15,11),"""")"),"Fruits/Coconut")</f>
        <v>Fruits/Coconut</v>
      </c>
      <c r="L101" s="50" t="str">
        <f>IFERROR(__xludf.DUMMYFUNCTION("IFERROR(INDEX(IMPORTRANGE(""12PgU-zwv8gBrFfxvJpoPIPcxUHWup-vsxMH3HWUigZ8"",""💰 Donations!A4:N200""),15,13),"""")"),"Aadi Festival")</f>
        <v>Aadi Festival</v>
      </c>
      <c r="M101" s="83" t="str">
        <f>IFERROR(__xludf.DUMMYFUNCTION("IFERROR(INDEX(IMPORTRANGE(""12PgU-zwv8gBrFfxvJpoPIPcxUHWup-vsxMH3HWUigZ8"",""💰 Donations!A4:N200""),15,14),"""")"),"")</f>
        <v/>
      </c>
      <c r="N101" s="82" t="str">
        <f>IFERROR(__xludf.DUMMYFUNCTION("IFERROR(IF(INDEX(IMPORTRANGE(""12PgU-zwv8gBrFfxvJpoPIPcxUHWup-vsxMH3HWUigZ8"",""💰 Donations!A4:N200""),15,10)="""","""",TEXT(INDEX(IMPORTRANGE(""12PgU-zwv8gBrFfxvJpoPIPcxUHWup-vsxMH3HWUigZ8"",""💰 Donations!A4:N200""),15,10),""DD-MM-YYYY"")),"""")"),"")</f>
        <v/>
      </c>
    </row>
    <row r="102" ht="18.0" customHeight="1">
      <c r="A102" s="22" t="str">
        <f>IFERROR(__xludf.DUMMYFUNCTION("IFERROR(INDEX(IMPORTRANGE(""12PgU-zwv8gBrFfxvJpoPIPcxUHWup-vsxMH3HWUigZ8"",""💰 Donations!A4:N200""),16,1),"""")"),"2026/D/16")</f>
        <v>2026/D/16</v>
      </c>
      <c r="B102" s="91" t="str">
        <f>IFERROR(__xludf.DUMMYFUNCTION("IFERROR(INDEX(IMPORTRANGE(""12PgU-zwv8gBrFfxvJpoPIPcxUHWup-vsxMH3HWUigZ8"",""💰 Donations!A4:N200""),16,2),"""")"),"Vidyashree S")</f>
        <v>Vidyashree S</v>
      </c>
      <c r="C102" s="3"/>
      <c r="D102" s="23">
        <f>IFERROR(__xludf.DUMMYFUNCTION("IFERROR(IFERROR(INDEX(IMPORTRANGE(""12PgU-zwv8gBrFfxvJpoPIPcxUHWup-vsxMH3HWUigZ8"",""💰 Donations!A4:N200""),16,3)*1,0),0)"),4000.0)</f>
        <v>4000</v>
      </c>
      <c r="E102" s="40">
        <f>IFERROR(__xludf.DUMMYFUNCTION("IFERROR(IFERROR(INDEX(IMPORTRANGE(""12PgU-zwv8gBrFfxvJpoPIPcxUHWup-vsxMH3HWUigZ8"",""💰 Donations!A4:N200""),16,4)*1,0),0)"),0.0)</f>
        <v>0</v>
      </c>
      <c r="F102" s="24">
        <f t="shared" si="5"/>
        <v>4000</v>
      </c>
      <c r="G102" s="92" t="str">
        <f t="shared" si="6"/>
        <v>Pending</v>
      </c>
      <c r="H102" s="54" t="str">
        <f>IFERROR(__xludf.DUMMYFUNCTION("IFERROR(INDEX(IMPORTRANGE(""12PgU-zwv8gBrFfxvJpoPIPcxUHWup-vsxMH3HWUigZ8"",""💰 Donations!A4:N200""),16,6),"""")"),"")</f>
        <v/>
      </c>
      <c r="I102" s="85" t="str">
        <f>IFERROR(__xludf.DUMMYFUNCTION("IFERROR(IF(INDEX(IMPORTRANGE(""12PgU-zwv8gBrFfxvJpoPIPcxUHWup-vsxMH3HWUigZ8"",""💰 Donations!A4:N200""),16,7)="""","""",TEXT(INDEX(IMPORTRANGE(""12PgU-zwv8gBrFfxvJpoPIPcxUHWup-vsxMH3HWUigZ8"",""💰 Donations!A4:N200""),16,7),""DD-MM-YYYY"")),"""")"),"")</f>
        <v/>
      </c>
      <c r="J102" s="86" t="str">
        <f>IFERROR(__xludf.DUMMYFUNCTION("IFERROR(INDEX(IMPORTRANGE(""12PgU-zwv8gBrFfxvJpoPIPcxUHWup-vsxMH3HWUigZ8"",""💰 Donations!A4:N200""),16,8),"""")"),"")</f>
        <v/>
      </c>
      <c r="K102" s="93" t="str">
        <f>IFERROR(__xludf.DUMMYFUNCTION("IFERROR(INDEX(IMPORTRANGE(""12PgU-zwv8gBrFfxvJpoPIPcxUHWup-vsxMH3HWUigZ8"",""💰 Donations!A4:N200""),16,11),"""")"),"Pamplet Printing &amp; Crackers")</f>
        <v>Pamplet Printing &amp; Crackers</v>
      </c>
      <c r="L102" s="54" t="str">
        <f>IFERROR(__xludf.DUMMYFUNCTION("IFERROR(INDEX(IMPORTRANGE(""12PgU-zwv8gBrFfxvJpoPIPcxUHWup-vsxMH3HWUigZ8"",""💰 Donations!A4:N200""),16,13),"""")"),"Aadi Festival")</f>
        <v>Aadi Festival</v>
      </c>
      <c r="M102" s="86" t="str">
        <f>IFERROR(__xludf.DUMMYFUNCTION("IFERROR(INDEX(IMPORTRANGE(""12PgU-zwv8gBrFfxvJpoPIPcxUHWup-vsxMH3HWUigZ8"",""💰 Donations!A4:N200""),16,14),"""")"),"")</f>
        <v/>
      </c>
      <c r="N102" s="85" t="str">
        <f>IFERROR(__xludf.DUMMYFUNCTION("IFERROR(IF(INDEX(IMPORTRANGE(""12PgU-zwv8gBrFfxvJpoPIPcxUHWup-vsxMH3HWUigZ8"",""💰 Donations!A4:N200""),16,10)="""","""",TEXT(INDEX(IMPORTRANGE(""12PgU-zwv8gBrFfxvJpoPIPcxUHWup-vsxMH3HWUigZ8"",""💰 Donations!A4:N200""),16,10),""DD-MM-YYYY"")),"""")"),"10-06-2026")</f>
        <v>10-06-2026</v>
      </c>
    </row>
    <row r="103" ht="18.0" customHeight="1">
      <c r="A103" s="19" t="str">
        <f>IFERROR(__xludf.DUMMYFUNCTION("IFERROR(INDEX(IMPORTRANGE(""12PgU-zwv8gBrFfxvJpoPIPcxUHWup-vsxMH3HWUigZ8"",""💰 Donations!A4:N200""),17,1),"""")"),"2026/D/17")</f>
        <v>2026/D/17</v>
      </c>
      <c r="B103" s="88" t="str">
        <f>IFERROR(__xludf.DUMMYFUNCTION("IFERROR(INDEX(IMPORTRANGE(""12PgU-zwv8gBrFfxvJpoPIPcxUHWup-vsxMH3HWUigZ8"",""💰 Donations!A4:N200""),17,2),"""")"),"D. Gopala Krishan")</f>
        <v>D. Gopala Krishan</v>
      </c>
      <c r="C103" s="3"/>
      <c r="D103" s="20">
        <f>IFERROR(__xludf.DUMMYFUNCTION("IFERROR(IFERROR(INDEX(IMPORTRANGE(""12PgU-zwv8gBrFfxvJpoPIPcxUHWup-vsxMH3HWUigZ8"",""💰 Donations!A4:N200""),17,3)*1,0),0)"),10000.0)</f>
        <v>10000</v>
      </c>
      <c r="E103" s="39">
        <f>IFERROR(__xludf.DUMMYFUNCTION("IFERROR(IFERROR(INDEX(IMPORTRANGE(""12PgU-zwv8gBrFfxvJpoPIPcxUHWup-vsxMH3HWUigZ8"",""💰 Donations!A4:N200""),17,4)*1,0),0)"),0.0)</f>
        <v>0</v>
      </c>
      <c r="F103" s="21">
        <f t="shared" si="5"/>
        <v>10000</v>
      </c>
      <c r="G103" s="89" t="str">
        <f t="shared" si="6"/>
        <v>Pending</v>
      </c>
      <c r="H103" s="50" t="str">
        <f>IFERROR(__xludf.DUMMYFUNCTION("IFERROR(INDEX(IMPORTRANGE(""12PgU-zwv8gBrFfxvJpoPIPcxUHWup-vsxMH3HWUigZ8"",""💰 Donations!A4:N200""),17,6),"""")"),"")</f>
        <v/>
      </c>
      <c r="I103" s="82" t="str">
        <f>IFERROR(__xludf.DUMMYFUNCTION("IFERROR(IF(INDEX(IMPORTRANGE(""12PgU-zwv8gBrFfxvJpoPIPcxUHWup-vsxMH3HWUigZ8"",""💰 Donations!A4:N200""),17,7)="""","""",TEXT(INDEX(IMPORTRANGE(""12PgU-zwv8gBrFfxvJpoPIPcxUHWup-vsxMH3HWUigZ8"",""💰 Donations!A4:N200""),17,7),""DD-MM-YYYY"")),"""")"),"")</f>
        <v/>
      </c>
      <c r="J103" s="83" t="str">
        <f>IFERROR(__xludf.DUMMYFUNCTION("IFERROR(INDEX(IMPORTRANGE(""12PgU-zwv8gBrFfxvJpoPIPcxUHWup-vsxMH3HWUigZ8"",""💰 Donations!A4:N200""),17,8),"""")"),"")</f>
        <v/>
      </c>
      <c r="K103" s="90" t="str">
        <f>IFERROR(__xludf.DUMMYFUNCTION("IFERROR(INDEX(IMPORTRANGE(""12PgU-zwv8gBrFfxvJpoPIPcxUHWup-vsxMH3HWUigZ8"",""💰 Donations!A4:N200""),17,11),"""")"),"Blouse pieces / Kumkum set / Thread")</f>
        <v>Blouse pieces / Kumkum set / Thread</v>
      </c>
      <c r="L103" s="50" t="str">
        <f>IFERROR(__xludf.DUMMYFUNCTION("IFERROR(INDEX(IMPORTRANGE(""12PgU-zwv8gBrFfxvJpoPIPcxUHWup-vsxMH3HWUigZ8"",""💰 Donations!A4:N200""),17,13),"""")"),"Aadi Festival")</f>
        <v>Aadi Festival</v>
      </c>
      <c r="M103" s="83" t="str">
        <f>IFERROR(__xludf.DUMMYFUNCTION("IFERROR(INDEX(IMPORTRANGE(""12PgU-zwv8gBrFfxvJpoPIPcxUHWup-vsxMH3HWUigZ8"",""💰 Donations!A4:N200""),17,14),"""")"),"")</f>
        <v/>
      </c>
      <c r="N103" s="82" t="str">
        <f>IFERROR(__xludf.DUMMYFUNCTION("IFERROR(IF(INDEX(IMPORTRANGE(""12PgU-zwv8gBrFfxvJpoPIPcxUHWup-vsxMH3HWUigZ8"",""💰 Donations!A4:N200""),17,10)="""","""",TEXT(INDEX(IMPORTRANGE(""12PgU-zwv8gBrFfxvJpoPIPcxUHWup-vsxMH3HWUigZ8"",""💰 Donations!A4:N200""),17,10),""DD-MM-YYYY"")),"""")"),"10-08-2026")</f>
        <v>10-08-2026</v>
      </c>
    </row>
    <row r="104" ht="18.0" customHeight="1">
      <c r="A104" s="22" t="str">
        <f>IFERROR(__xludf.DUMMYFUNCTION("IFERROR(INDEX(IMPORTRANGE(""12PgU-zwv8gBrFfxvJpoPIPcxUHWup-vsxMH3HWUigZ8"",""💰 Donations!A4:N200""),18,1),"""")"),"2026/D/18")</f>
        <v>2026/D/18</v>
      </c>
      <c r="B104" s="91" t="str">
        <f>IFERROR(__xludf.DUMMYFUNCTION("IFERROR(INDEX(IMPORTRANGE(""12PgU-zwv8gBrFfxvJpoPIPcxUHWup-vsxMH3HWUigZ8"",""💰 Donations!A4:N200""),18,2),"""")"),"Raghu Nataraj")</f>
        <v>Raghu Nataraj</v>
      </c>
      <c r="C104" s="3"/>
      <c r="D104" s="23">
        <f>IFERROR(__xludf.DUMMYFUNCTION("IFERROR(IFERROR(INDEX(IMPORTRANGE(""12PgU-zwv8gBrFfxvJpoPIPcxUHWup-vsxMH3HWUigZ8"",""💰 Donations!A4:N200""),18,3)*1,0),0)"),10500.0)</f>
        <v>10500</v>
      </c>
      <c r="E104" s="40">
        <f>IFERROR(__xludf.DUMMYFUNCTION("IFERROR(IFERROR(INDEX(IMPORTRANGE(""12PgU-zwv8gBrFfxvJpoPIPcxUHWup-vsxMH3HWUigZ8"",""💰 Donations!A4:N200""),18,4)*1,0),0)"),10500.0)</f>
        <v>10500</v>
      </c>
      <c r="F104" s="24">
        <f t="shared" si="5"/>
        <v>0</v>
      </c>
      <c r="G104" s="92" t="str">
        <f t="shared" si="6"/>
        <v>Received</v>
      </c>
      <c r="H104" s="54" t="str">
        <f>IFERROR(__xludf.DUMMYFUNCTION("IFERROR(INDEX(IMPORTRANGE(""12PgU-zwv8gBrFfxvJpoPIPcxUHWup-vsxMH3HWUigZ8"",""💰 Donations!A4:N200""),18,6),"""")"),"UPI")</f>
        <v>UPI</v>
      </c>
      <c r="I104" s="85" t="str">
        <f>IFERROR(__xludf.DUMMYFUNCTION("IFERROR(IF(INDEX(IMPORTRANGE(""12PgU-zwv8gBrFfxvJpoPIPcxUHWup-vsxMH3HWUigZ8"",""💰 Donations!A4:N200""),18,7)="""","""",TEXT(INDEX(IMPORTRANGE(""12PgU-zwv8gBrFfxvJpoPIPcxUHWup-vsxMH3HWUigZ8"",""💰 Donations!A4:N200""),18,7),""DD-MM-YYYY"")),"""")"),"06-03-2026")</f>
        <v>06-03-2026</v>
      </c>
      <c r="J104" s="86" t="str">
        <f>IFERROR(__xludf.DUMMYFUNCTION("IFERROR(INDEX(IMPORTRANGE(""12PgU-zwv8gBrFfxvJpoPIPcxUHWup-vsxMH3HWUigZ8"",""💰 Donations!A4:N200""),18,8),"""")"),"Suresh Velu")</f>
        <v>Suresh Velu</v>
      </c>
      <c r="K104" s="93" t="str">
        <f>IFERROR(__xludf.DUMMYFUNCTION("IFERROR(INDEX(IMPORTRANGE(""12PgU-zwv8gBrFfxvJpoPIPcxUHWup-vsxMH3HWUigZ8"",""💰 Donations!A4:N200""),18,11),"""")"),"Temple Painting,Temple Banner printing and installing")</f>
        <v>Temple Painting,Temple Banner printing and installing</v>
      </c>
      <c r="L104" s="54" t="str">
        <f>IFERROR(__xludf.DUMMYFUNCTION("IFERROR(INDEX(IMPORTRANGE(""12PgU-zwv8gBrFfxvJpoPIPcxUHWup-vsxMH3HWUigZ8"",""💰 Donations!A4:N200""),18,13),"""")"),"Aadi Festival")</f>
        <v>Aadi Festival</v>
      </c>
      <c r="M104" s="86" t="str">
        <f>IFERROR(__xludf.DUMMYFUNCTION("IFERROR(INDEX(IMPORTRANGE(""12PgU-zwv8gBrFfxvJpoPIPcxUHWup-vsxMH3HWUigZ8"",""💰 Donations!A4:N200""),18,14),"""")"),"")</f>
        <v/>
      </c>
      <c r="N104" s="85" t="str">
        <f>IFERROR(__xludf.DUMMYFUNCTION("IFERROR(IF(INDEX(IMPORTRANGE(""12PgU-zwv8gBrFfxvJpoPIPcxUHWup-vsxMH3HWUigZ8"",""💰 Donations!A4:N200""),18,10)="""","""",TEXT(INDEX(IMPORTRANGE(""12PgU-zwv8gBrFfxvJpoPIPcxUHWup-vsxMH3HWUigZ8"",""💰 Donations!A4:N200""),18,10),""DD-MM-YYYY"")),"""")"),"10-08-2026")</f>
        <v>10-08-2026</v>
      </c>
    </row>
    <row r="105" ht="18.0" customHeight="1">
      <c r="A105" s="19" t="str">
        <f>IFERROR(__xludf.DUMMYFUNCTION("IFERROR(INDEX(IMPORTRANGE(""12PgU-zwv8gBrFfxvJpoPIPcxUHWup-vsxMH3HWUigZ8"",""💰 Donations!A4:N200""),19,1),"""")"),"2026/D/19")</f>
        <v>2026/D/19</v>
      </c>
      <c r="B105" s="88" t="str">
        <f>IFERROR(__xludf.DUMMYFUNCTION("IFERROR(INDEX(IMPORTRANGE(""12PgU-zwv8gBrFfxvJpoPIPcxUHWup-vsxMH3HWUigZ8"",""💰 Donations!A4:N200""),19,2),"""")"),"BM Neelakantan &amp; Ramya")</f>
        <v>BM Neelakantan &amp; Ramya</v>
      </c>
      <c r="C105" s="3"/>
      <c r="D105" s="20">
        <f>IFERROR(__xludf.DUMMYFUNCTION("IFERROR(IFERROR(INDEX(IMPORTRANGE(""12PgU-zwv8gBrFfxvJpoPIPcxUHWup-vsxMH3HWUigZ8"",""💰 Donations!A4:N200""),19,3)*1,0),0)"),3000.0)</f>
        <v>3000</v>
      </c>
      <c r="E105" s="39">
        <f>IFERROR(__xludf.DUMMYFUNCTION("IFERROR(IFERROR(INDEX(IMPORTRANGE(""12PgU-zwv8gBrFfxvJpoPIPcxUHWup-vsxMH3HWUigZ8"",""💰 Donations!A4:N200""),19,4)*1,0),0)"),3000.0)</f>
        <v>3000</v>
      </c>
      <c r="F105" s="21">
        <f t="shared" si="5"/>
        <v>0</v>
      </c>
      <c r="G105" s="89" t="str">
        <f t="shared" si="6"/>
        <v>Received</v>
      </c>
      <c r="H105" s="50" t="str">
        <f>IFERROR(__xludf.DUMMYFUNCTION("IFERROR(INDEX(IMPORTRANGE(""12PgU-zwv8gBrFfxvJpoPIPcxUHWup-vsxMH3HWUigZ8"",""💰 Donations!A4:N200""),19,6),"""")"),"UPI")</f>
        <v>UPI</v>
      </c>
      <c r="I105" s="82" t="str">
        <f>IFERROR(__xludf.DUMMYFUNCTION("IFERROR(IF(INDEX(IMPORTRANGE(""12PgU-zwv8gBrFfxvJpoPIPcxUHWup-vsxMH3HWUigZ8"",""💰 Donations!A4:N200""),19,7)="""","""",TEXT(INDEX(IMPORTRANGE(""12PgU-zwv8gBrFfxvJpoPIPcxUHWup-vsxMH3HWUigZ8"",""💰 Donations!A4:N200""),19,7),""DD-MM-YYYY"")),"""")"),"24-05-2026")</f>
        <v>24-05-2026</v>
      </c>
      <c r="J105" s="83" t="str">
        <f>IFERROR(__xludf.DUMMYFUNCTION("IFERROR(INDEX(IMPORTRANGE(""12PgU-zwv8gBrFfxvJpoPIPcxUHWup-vsxMH3HWUigZ8"",""💰 Donations!A4:N200""),19,8),"""")"),"Sunil Kumar")</f>
        <v>Sunil Kumar</v>
      </c>
      <c r="K105" s="90" t="str">
        <f>IFERROR(__xludf.DUMMYFUNCTION("IFERROR(INDEX(IMPORTRANGE(""12PgU-zwv8gBrFfxvJpoPIPcxUHWup-vsxMH3HWUigZ8"",""💰 Donations!A4:N200""),19,11),"""")"),"Temple premises cleaning")</f>
        <v>Temple premises cleaning</v>
      </c>
      <c r="L105" s="50" t="str">
        <f>IFERROR(__xludf.DUMMYFUNCTION("IFERROR(INDEX(IMPORTRANGE(""12PgU-zwv8gBrFfxvJpoPIPcxUHWup-vsxMH3HWUigZ8"",""💰 Donations!A4:N200""),19,13),"""")"),"Aadi Festival")</f>
        <v>Aadi Festival</v>
      </c>
      <c r="M105" s="83" t="str">
        <f>IFERROR(__xludf.DUMMYFUNCTION("IFERROR(INDEX(IMPORTRANGE(""12PgU-zwv8gBrFfxvJpoPIPcxUHWup-vsxMH3HWUigZ8"",""💰 Donations!A4:N200""),19,14),"""")"),"")</f>
        <v/>
      </c>
      <c r="N105" s="82" t="str">
        <f>IFERROR(__xludf.DUMMYFUNCTION("IFERROR(IF(INDEX(IMPORTRANGE(""12PgU-zwv8gBrFfxvJpoPIPcxUHWup-vsxMH3HWUigZ8"",""💰 Donations!A4:N200""),19,10)="""","""",TEXT(INDEX(IMPORTRANGE(""12PgU-zwv8gBrFfxvJpoPIPcxUHWup-vsxMH3HWUigZ8"",""💰 Donations!A4:N200""),19,10),""DD-MM-YYYY"")),"""")"),"")</f>
        <v/>
      </c>
    </row>
    <row r="106" ht="18.0" customHeight="1">
      <c r="A106" s="22" t="str">
        <f>IFERROR(__xludf.DUMMYFUNCTION("IFERROR(INDEX(IMPORTRANGE(""12PgU-zwv8gBrFfxvJpoPIPcxUHWup-vsxMH3HWUigZ8"",""💰 Donations!A4:N200""),20,1),"""")"),"2026/D/20")</f>
        <v>2026/D/20</v>
      </c>
      <c r="B106" s="91" t="str">
        <f>IFERROR(__xludf.DUMMYFUNCTION("IFERROR(INDEX(IMPORTRANGE(""12PgU-zwv8gBrFfxvJpoPIPcxUHWup-vsxMH3HWUigZ8"",""💰 Donations!A4:N200""),20,2),"""")"),"Manish Gupta and family")</f>
        <v>Manish Gupta and family</v>
      </c>
      <c r="C106" s="3"/>
      <c r="D106" s="23">
        <f>IFERROR(__xludf.DUMMYFUNCTION("IFERROR(IFERROR(INDEX(IMPORTRANGE(""12PgU-zwv8gBrFfxvJpoPIPcxUHWup-vsxMH3HWUigZ8"",""💰 Donations!A4:N200""),20,3)*1,0),0)"),5000.0)</f>
        <v>5000</v>
      </c>
      <c r="E106" s="40">
        <f>IFERROR(__xludf.DUMMYFUNCTION("IFERROR(IFERROR(INDEX(IMPORTRANGE(""12PgU-zwv8gBrFfxvJpoPIPcxUHWup-vsxMH3HWUigZ8"",""💰 Donations!A4:N200""),20,4)*1,0),0)"),5000.0)</f>
        <v>5000</v>
      </c>
      <c r="F106" s="24">
        <f t="shared" si="5"/>
        <v>0</v>
      </c>
      <c r="G106" s="92" t="str">
        <f t="shared" si="6"/>
        <v>Received</v>
      </c>
      <c r="H106" s="54" t="str">
        <f>IFERROR(__xludf.DUMMYFUNCTION("IFERROR(INDEX(IMPORTRANGE(""12PgU-zwv8gBrFfxvJpoPIPcxUHWup-vsxMH3HWUigZ8"",""💰 Donations!A4:N200""),20,6),"""")"),"UPI")</f>
        <v>UPI</v>
      </c>
      <c r="I106" s="85" t="str">
        <f>IFERROR(__xludf.DUMMYFUNCTION("IFERROR(IF(INDEX(IMPORTRANGE(""12PgU-zwv8gBrFfxvJpoPIPcxUHWup-vsxMH3HWUigZ8"",""💰 Donations!A4:N200""),20,7)="""","""",TEXT(INDEX(IMPORTRANGE(""12PgU-zwv8gBrFfxvJpoPIPcxUHWup-vsxMH3HWUigZ8"",""💰 Donations!A4:N200""),20,7),""DD-MM-YYYY"")),"""")"),"24-05-2026")</f>
        <v>24-05-2026</v>
      </c>
      <c r="J106" s="86" t="str">
        <f>IFERROR(__xludf.DUMMYFUNCTION("IFERROR(INDEX(IMPORTRANGE(""12PgU-zwv8gBrFfxvJpoPIPcxUHWup-vsxMH3HWUigZ8"",""💰 Donations!A4:N200""),20,8),"""")"),"Sunil Kumar")</f>
        <v>Sunil Kumar</v>
      </c>
      <c r="K106" s="93" t="str">
        <f>IFERROR(__xludf.DUMMYFUNCTION("IFERROR(INDEX(IMPORTRANGE(""12PgU-zwv8gBrFfxvJpoPIPcxUHWup-vsxMH3HWUigZ8"",""💰 Donations!A4:N200""),20,11),"""")"),"Others (Transport etc..)")</f>
        <v>Others (Transport etc..)</v>
      </c>
      <c r="L106" s="54" t="str">
        <f>IFERROR(__xludf.DUMMYFUNCTION("IFERROR(INDEX(IMPORTRANGE(""12PgU-zwv8gBrFfxvJpoPIPcxUHWup-vsxMH3HWUigZ8"",""💰 Donations!A4:N200""),20,13),"""")"),"Aadi Festival")</f>
        <v>Aadi Festival</v>
      </c>
      <c r="M106" s="86" t="str">
        <f>IFERROR(__xludf.DUMMYFUNCTION("IFERROR(INDEX(IMPORTRANGE(""12PgU-zwv8gBrFfxvJpoPIPcxUHWup-vsxMH3HWUigZ8"",""💰 Donations!A4:N200""),20,14),"""")"),"")</f>
        <v/>
      </c>
      <c r="N106" s="85" t="str">
        <f>IFERROR(__xludf.DUMMYFUNCTION("IFERROR(IF(INDEX(IMPORTRANGE(""12PgU-zwv8gBrFfxvJpoPIPcxUHWup-vsxMH3HWUigZ8"",""💰 Donations!A4:N200""),20,10)="""","""",TEXT(INDEX(IMPORTRANGE(""12PgU-zwv8gBrFfxvJpoPIPcxUHWup-vsxMH3HWUigZ8"",""💰 Donations!A4:N200""),20,10),""DD-MM-YYYY"")),"""")"),"")</f>
        <v/>
      </c>
    </row>
    <row r="107" ht="18.0" customHeight="1">
      <c r="A107" s="19" t="str">
        <f>IFERROR(__xludf.DUMMYFUNCTION("IFERROR(INDEX(IMPORTRANGE(""12PgU-zwv8gBrFfxvJpoPIPcxUHWup-vsxMH3HWUigZ8"",""💰 Donations!A4:N200""),21,1),"""")"),"2026/D/21")</f>
        <v>2026/D/21</v>
      </c>
      <c r="B107" s="88" t="str">
        <f>IFERROR(__xludf.DUMMYFUNCTION("IFERROR(INDEX(IMPORTRANGE(""12PgU-zwv8gBrFfxvJpoPIPcxUHWup-vsxMH3HWUigZ8"",""💰 Donations!A4:N200""),21,2),"""")"),"Manjula Narayanan")</f>
        <v>Manjula Narayanan</v>
      </c>
      <c r="C107" s="3"/>
      <c r="D107" s="20">
        <f>IFERROR(__xludf.DUMMYFUNCTION("IFERROR(IFERROR(INDEX(IMPORTRANGE(""12PgU-zwv8gBrFfxvJpoPIPcxUHWup-vsxMH3HWUigZ8"",""💰 Donations!A4:N200""),21,3)*1,0),0)"),5000.0)</f>
        <v>5000</v>
      </c>
      <c r="E107" s="39">
        <f>IFERROR(__xludf.DUMMYFUNCTION("IFERROR(IFERROR(INDEX(IMPORTRANGE(""12PgU-zwv8gBrFfxvJpoPIPcxUHWup-vsxMH3HWUigZ8"",""💰 Donations!A4:N200""),21,4)*1,0),0)"),0.0)</f>
        <v>0</v>
      </c>
      <c r="F107" s="21">
        <f t="shared" si="5"/>
        <v>5000</v>
      </c>
      <c r="G107" s="89" t="str">
        <f t="shared" si="6"/>
        <v>Pending</v>
      </c>
      <c r="H107" s="50" t="str">
        <f>IFERROR(__xludf.DUMMYFUNCTION("IFERROR(INDEX(IMPORTRANGE(""12PgU-zwv8gBrFfxvJpoPIPcxUHWup-vsxMH3HWUigZ8"",""💰 Donations!A4:N200""),21,6),"""")"),"")</f>
        <v/>
      </c>
      <c r="I107" s="82" t="str">
        <f>IFERROR(__xludf.DUMMYFUNCTION("IFERROR(IF(INDEX(IMPORTRANGE(""12PgU-zwv8gBrFfxvJpoPIPcxUHWup-vsxMH3HWUigZ8"",""💰 Donations!A4:N200""),21,7)="""","""",TEXT(INDEX(IMPORTRANGE(""12PgU-zwv8gBrFfxvJpoPIPcxUHWup-vsxMH3HWUigZ8"",""💰 Donations!A4:N200""),21,7),""DD-MM-YYYY"")),"""")"),"")</f>
        <v/>
      </c>
      <c r="J107" s="83" t="str">
        <f>IFERROR(__xludf.DUMMYFUNCTION("IFERROR(INDEX(IMPORTRANGE(""12PgU-zwv8gBrFfxvJpoPIPcxUHWup-vsxMH3HWUigZ8"",""💰 Donations!A4:N200""),21,8),"""")"),"")</f>
        <v/>
      </c>
      <c r="K107" s="90" t="str">
        <f>IFERROR(__xludf.DUMMYFUNCTION("IFERROR(INDEX(IMPORTRANGE(""12PgU-zwv8gBrFfxvJpoPIPcxUHWup-vsxMH3HWUigZ8"",""💰 Donations!A4:N200""),21,11),"""")"),"")</f>
        <v/>
      </c>
      <c r="L107" s="50" t="str">
        <f>IFERROR(__xludf.DUMMYFUNCTION("IFERROR(INDEX(IMPORTRANGE(""12PgU-zwv8gBrFfxvJpoPIPcxUHWup-vsxMH3HWUigZ8"",""💰 Donations!A4:N200""),21,13),"""")"),"Aadi Festival")</f>
        <v>Aadi Festival</v>
      </c>
      <c r="M107" s="83" t="str">
        <f>IFERROR(__xludf.DUMMYFUNCTION("IFERROR(INDEX(IMPORTRANGE(""12PgU-zwv8gBrFfxvJpoPIPcxUHWup-vsxMH3HWUigZ8"",""💰 Donations!A4:N200""),21,14),"""")"),"")</f>
        <v/>
      </c>
      <c r="N107" s="82" t="str">
        <f>IFERROR(__xludf.DUMMYFUNCTION("IFERROR(IF(INDEX(IMPORTRANGE(""12PgU-zwv8gBrFfxvJpoPIPcxUHWup-vsxMH3HWUigZ8"",""💰 Donations!A4:N200""),21,10)="""","""",TEXT(INDEX(IMPORTRANGE(""12PgU-zwv8gBrFfxvJpoPIPcxUHWup-vsxMH3HWUigZ8"",""💰 Donations!A4:N200""),21,10),""DD-MM-YYYY"")),"""")"),"10-06-2026")</f>
        <v>10-06-2026</v>
      </c>
    </row>
    <row r="108" ht="18.0" customHeight="1">
      <c r="A108" s="22" t="str">
        <f>IFERROR(__xludf.DUMMYFUNCTION("IFERROR(INDEX(IMPORTRANGE(""12PgU-zwv8gBrFfxvJpoPIPcxUHWup-vsxMH3HWUigZ8"",""💰 Donations!A4:N200""),22,1),"""")"),"2026/D/22")</f>
        <v>2026/D/22</v>
      </c>
      <c r="B108" s="91" t="str">
        <f>IFERROR(__xludf.DUMMYFUNCTION("IFERROR(INDEX(IMPORTRANGE(""12PgU-zwv8gBrFfxvJpoPIPcxUHWup-vsxMH3HWUigZ8"",""💰 Donations!A4:N200""),22,2),"""")"),"Manjula Rajiv")</f>
        <v>Manjula Rajiv</v>
      </c>
      <c r="C108" s="3"/>
      <c r="D108" s="23">
        <f>IFERROR(__xludf.DUMMYFUNCTION("IFERROR(IFERROR(INDEX(IMPORTRANGE(""12PgU-zwv8gBrFfxvJpoPIPcxUHWup-vsxMH3HWUigZ8"",""💰 Donations!A4:N200""),22,3)*1,0),0)"),5000.0)</f>
        <v>5000</v>
      </c>
      <c r="E108" s="40">
        <f>IFERROR(__xludf.DUMMYFUNCTION("IFERROR(IFERROR(INDEX(IMPORTRANGE(""12PgU-zwv8gBrFfxvJpoPIPcxUHWup-vsxMH3HWUigZ8"",""💰 Donations!A4:N200""),22,4)*1,0),0)"),5000.0)</f>
        <v>5000</v>
      </c>
      <c r="F108" s="24">
        <f t="shared" si="5"/>
        <v>0</v>
      </c>
      <c r="G108" s="92" t="str">
        <f t="shared" si="6"/>
        <v>Received</v>
      </c>
      <c r="H108" s="54" t="str">
        <f>IFERROR(__xludf.DUMMYFUNCTION("IFERROR(INDEX(IMPORTRANGE(""12PgU-zwv8gBrFfxvJpoPIPcxUHWup-vsxMH3HWUigZ8"",""💰 Donations!A4:N200""),22,6),"""")"),"Cash")</f>
        <v>Cash</v>
      </c>
      <c r="I108" s="85" t="str">
        <f>IFERROR(__xludf.DUMMYFUNCTION("IFERROR(IF(INDEX(IMPORTRANGE(""12PgU-zwv8gBrFfxvJpoPIPcxUHWup-vsxMH3HWUigZ8"",""💰 Donations!A4:N200""),22,7)="""","""",TEXT(INDEX(IMPORTRANGE(""12PgU-zwv8gBrFfxvJpoPIPcxUHWup-vsxMH3HWUigZ8"",""💰 Donations!A4:N200""),22,7),""DD-MM-YYYY"")),"""")"),"24-05-2026")</f>
        <v>24-05-2026</v>
      </c>
      <c r="J108" s="86" t="str">
        <f>IFERROR(__xludf.DUMMYFUNCTION("IFERROR(INDEX(IMPORTRANGE(""12PgU-zwv8gBrFfxvJpoPIPcxUHWup-vsxMH3HWUigZ8"",""💰 Donations!A4:N200""),22,8),"""")"),"Sunil Kumar")</f>
        <v>Sunil Kumar</v>
      </c>
      <c r="K108" s="93" t="str">
        <f>IFERROR(__xludf.DUMMYFUNCTION("IFERROR(INDEX(IMPORTRANGE(""12PgU-zwv8gBrFfxvJpoPIPcxUHWup-vsxMH3HWUigZ8"",""💰 Donations!A4:N200""),22,11),"""")"),"Toward Aadi Festival")</f>
        <v>Toward Aadi Festival</v>
      </c>
      <c r="L108" s="54" t="str">
        <f>IFERROR(__xludf.DUMMYFUNCTION("IFERROR(INDEX(IMPORTRANGE(""12PgU-zwv8gBrFfxvJpoPIPcxUHWup-vsxMH3HWUigZ8"",""💰 Donations!A4:N200""),22,13),"""")"),"Aadi Festival")</f>
        <v>Aadi Festival</v>
      </c>
      <c r="M108" s="86" t="str">
        <f>IFERROR(__xludf.DUMMYFUNCTION("IFERROR(INDEX(IMPORTRANGE(""12PgU-zwv8gBrFfxvJpoPIPcxUHWup-vsxMH3HWUigZ8"",""💰 Donations!A4:N200""),22,14),"""")"),"")</f>
        <v/>
      </c>
      <c r="N108" s="85" t="str">
        <f>IFERROR(__xludf.DUMMYFUNCTION("IFERROR(IF(INDEX(IMPORTRANGE(""12PgU-zwv8gBrFfxvJpoPIPcxUHWup-vsxMH3HWUigZ8"",""💰 Donations!A4:N200""),22,10)="""","""",TEXT(INDEX(IMPORTRANGE(""12PgU-zwv8gBrFfxvJpoPIPcxUHWup-vsxMH3HWUigZ8"",""💰 Donations!A4:N200""),22,10),""DD-MM-YYYY"")),"""")"),"")</f>
        <v/>
      </c>
    </row>
    <row r="109" ht="18.0" customHeight="1">
      <c r="A109" s="19" t="str">
        <f>IFERROR(__xludf.DUMMYFUNCTION("IFERROR(INDEX(IMPORTRANGE(""12PgU-zwv8gBrFfxvJpoPIPcxUHWup-vsxMH3HWUigZ8"",""💰 Donations!A4:N200""),23,1),"""")"),"2026/D/23")</f>
        <v>2026/D/23</v>
      </c>
      <c r="B109" s="88" t="str">
        <f>IFERROR(__xludf.DUMMYFUNCTION("IFERROR(INDEX(IMPORTRANGE(""12PgU-zwv8gBrFfxvJpoPIPcxUHWup-vsxMH3HWUigZ8"",""💰 Donations!A4:N200""),23,2),"""")"),"Praveen")</f>
        <v>Praveen</v>
      </c>
      <c r="C109" s="3"/>
      <c r="D109" s="20">
        <f>IFERROR(__xludf.DUMMYFUNCTION("IFERROR(IFERROR(INDEX(IMPORTRANGE(""12PgU-zwv8gBrFfxvJpoPIPcxUHWup-vsxMH3HWUigZ8"",""💰 Donations!A4:N200""),23,3)*1,0),0)"),3000.0)</f>
        <v>3000</v>
      </c>
      <c r="E109" s="39">
        <f>IFERROR(__xludf.DUMMYFUNCTION("IFERROR(IFERROR(INDEX(IMPORTRANGE(""12PgU-zwv8gBrFfxvJpoPIPcxUHWup-vsxMH3HWUigZ8"",""💰 Donations!A4:N200""),23,4)*1,0),0)"),3000.0)</f>
        <v>3000</v>
      </c>
      <c r="F109" s="21">
        <f t="shared" si="5"/>
        <v>0</v>
      </c>
      <c r="G109" s="89" t="str">
        <f t="shared" si="6"/>
        <v>Received</v>
      </c>
      <c r="H109" s="50" t="str">
        <f>IFERROR(__xludf.DUMMYFUNCTION("IFERROR(INDEX(IMPORTRANGE(""12PgU-zwv8gBrFfxvJpoPIPcxUHWup-vsxMH3HWUigZ8"",""💰 Donations!A4:N200""),23,6),"""")"),"Cash")</f>
        <v>Cash</v>
      </c>
      <c r="I109" s="82" t="str">
        <f>IFERROR(__xludf.DUMMYFUNCTION("IFERROR(IF(INDEX(IMPORTRANGE(""12PgU-zwv8gBrFfxvJpoPIPcxUHWup-vsxMH3HWUigZ8"",""💰 Donations!A4:N200""),23,7)="""","""",TEXT(INDEX(IMPORTRANGE(""12PgU-zwv8gBrFfxvJpoPIPcxUHWup-vsxMH3HWUigZ8"",""💰 Donations!A4:N200""),23,7),""DD-MM-YYYY"")),"""")"),"24-05-2026")</f>
        <v>24-05-2026</v>
      </c>
      <c r="J109" s="83" t="str">
        <f>IFERROR(__xludf.DUMMYFUNCTION("IFERROR(INDEX(IMPORTRANGE(""12PgU-zwv8gBrFfxvJpoPIPcxUHWup-vsxMH3HWUigZ8"",""💰 Donations!A4:N200""),23,8),"""")"),"Sunil Kumar")</f>
        <v>Sunil Kumar</v>
      </c>
      <c r="K109" s="90" t="str">
        <f>IFERROR(__xludf.DUMMYFUNCTION("IFERROR(INDEX(IMPORTRANGE(""12PgU-zwv8gBrFfxvJpoPIPcxUHWup-vsxMH3HWUigZ8"",""💰 Donations!A4:N200""),23,11),"""")"),"Toward Aadi Festival")</f>
        <v>Toward Aadi Festival</v>
      </c>
      <c r="L109" s="50" t="str">
        <f>IFERROR(__xludf.DUMMYFUNCTION("IFERROR(INDEX(IMPORTRANGE(""12PgU-zwv8gBrFfxvJpoPIPcxUHWup-vsxMH3HWUigZ8"",""💰 Donations!A4:N200""),23,13),"""")"),"Aadi Festival")</f>
        <v>Aadi Festival</v>
      </c>
      <c r="M109" s="83" t="str">
        <f>IFERROR(__xludf.DUMMYFUNCTION("IFERROR(INDEX(IMPORTRANGE(""12PgU-zwv8gBrFfxvJpoPIPcxUHWup-vsxMH3HWUigZ8"",""💰 Donations!A4:N200""),23,14),"""")"),"")</f>
        <v/>
      </c>
      <c r="N109" s="82" t="str">
        <f>IFERROR(__xludf.DUMMYFUNCTION("IFERROR(IF(INDEX(IMPORTRANGE(""12PgU-zwv8gBrFfxvJpoPIPcxUHWup-vsxMH3HWUigZ8"",""💰 Donations!A4:N200""),23,10)="""","""",TEXT(INDEX(IMPORTRANGE(""12PgU-zwv8gBrFfxvJpoPIPcxUHWup-vsxMH3HWUigZ8"",""💰 Donations!A4:N200""),23,10),""DD-MM-YYYY"")),"""")"),"")</f>
        <v/>
      </c>
    </row>
    <row r="110" ht="18.0" customHeight="1">
      <c r="A110" s="22" t="str">
        <f>IFERROR(__xludf.DUMMYFUNCTION("IFERROR(INDEX(IMPORTRANGE(""12PgU-zwv8gBrFfxvJpoPIPcxUHWup-vsxMH3HWUigZ8"",""💰 Donations!A4:N200""),24,1),"""")"),"2026/D/24")</f>
        <v>2026/D/24</v>
      </c>
      <c r="B110" s="91" t="str">
        <f>IFERROR(__xludf.DUMMYFUNCTION("IFERROR(INDEX(IMPORTRANGE(""12PgU-zwv8gBrFfxvJpoPIPcxUHWup-vsxMH3HWUigZ8"",""💰 Donations!A4:N200""),24,2),"""")"),"Mahadevan Chennai")</f>
        <v>Mahadevan Chennai</v>
      </c>
      <c r="C110" s="3"/>
      <c r="D110" s="23">
        <f>IFERROR(__xludf.DUMMYFUNCTION("IFERROR(IFERROR(INDEX(IMPORTRANGE(""12PgU-zwv8gBrFfxvJpoPIPcxUHWup-vsxMH3HWUigZ8"",""💰 Donations!A4:N200""),24,3)*1,0),0)"),10000.0)</f>
        <v>10000</v>
      </c>
      <c r="E110" s="40">
        <f>IFERROR(__xludf.DUMMYFUNCTION("IFERROR(IFERROR(INDEX(IMPORTRANGE(""12PgU-zwv8gBrFfxvJpoPIPcxUHWup-vsxMH3HWUigZ8"",""💰 Donations!A4:N200""),24,4)*1,0),0)"),10000.0)</f>
        <v>10000</v>
      </c>
      <c r="F110" s="24">
        <f t="shared" si="5"/>
        <v>0</v>
      </c>
      <c r="G110" s="92" t="str">
        <f t="shared" si="6"/>
        <v>Received</v>
      </c>
      <c r="H110" s="54" t="str">
        <f>IFERROR(__xludf.DUMMYFUNCTION("IFERROR(INDEX(IMPORTRANGE(""12PgU-zwv8gBrFfxvJpoPIPcxUHWup-vsxMH3HWUigZ8"",""💰 Donations!A4:N200""),24,6),"""")"),"Cash")</f>
        <v>Cash</v>
      </c>
      <c r="I110" s="85" t="str">
        <f>IFERROR(__xludf.DUMMYFUNCTION("IFERROR(IF(INDEX(IMPORTRANGE(""12PgU-zwv8gBrFfxvJpoPIPcxUHWup-vsxMH3HWUigZ8"",""💰 Donations!A4:N200""),24,7)="""","""",TEXT(INDEX(IMPORTRANGE(""12PgU-zwv8gBrFfxvJpoPIPcxUHWup-vsxMH3HWUigZ8"",""💰 Donations!A4:N200""),24,7),""DD-MM-YYYY"")),"""")"),"24-05-2026")</f>
        <v>24-05-2026</v>
      </c>
      <c r="J110" s="86" t="str">
        <f>IFERROR(__xludf.DUMMYFUNCTION("IFERROR(INDEX(IMPORTRANGE(""12PgU-zwv8gBrFfxvJpoPIPcxUHWup-vsxMH3HWUigZ8"",""💰 Donations!A4:N200""),24,8),"""")"),"Sunil Kumar")</f>
        <v>Sunil Kumar</v>
      </c>
      <c r="K110" s="93" t="str">
        <f>IFERROR(__xludf.DUMMYFUNCTION("IFERROR(INDEX(IMPORTRANGE(""12PgU-zwv8gBrFfxvJpoPIPcxUHWup-vsxMH3HWUigZ8"",""💰 Donations!A4:N200""),24,11),"""")"),"Toward Aadi Festival")</f>
        <v>Toward Aadi Festival</v>
      </c>
      <c r="L110" s="54" t="str">
        <f>IFERROR(__xludf.DUMMYFUNCTION("IFERROR(INDEX(IMPORTRANGE(""12PgU-zwv8gBrFfxvJpoPIPcxUHWup-vsxMH3HWUigZ8"",""💰 Donations!A4:N200""),24,13),"""")"),"Aadi Festival")</f>
        <v>Aadi Festival</v>
      </c>
      <c r="M110" s="86" t="str">
        <f>IFERROR(__xludf.DUMMYFUNCTION("IFERROR(INDEX(IMPORTRANGE(""12PgU-zwv8gBrFfxvJpoPIPcxUHWup-vsxMH3HWUigZ8"",""💰 Donations!A4:N200""),24,14),"""")"),"")</f>
        <v/>
      </c>
      <c r="N110" s="85" t="str">
        <f>IFERROR(__xludf.DUMMYFUNCTION("IFERROR(IF(INDEX(IMPORTRANGE(""12PgU-zwv8gBrFfxvJpoPIPcxUHWup-vsxMH3HWUigZ8"",""💰 Donations!A4:N200""),24,10)="""","""",TEXT(INDEX(IMPORTRANGE(""12PgU-zwv8gBrFfxvJpoPIPcxUHWup-vsxMH3HWUigZ8"",""💰 Donations!A4:N200""),24,10),""DD-MM-YYYY"")),"""")"),"")</f>
        <v/>
      </c>
    </row>
    <row r="111" ht="18.0" customHeight="1">
      <c r="A111" s="19" t="str">
        <f>IFERROR(__xludf.DUMMYFUNCTION("IFERROR(INDEX(IMPORTRANGE(""12PgU-zwv8gBrFfxvJpoPIPcxUHWup-vsxMH3HWUigZ8"",""💰 Donations!A4:N200""),25,1),"""")"),"2026/D/25")</f>
        <v>2026/D/25</v>
      </c>
      <c r="B111" s="88" t="str">
        <f>IFERROR(__xludf.DUMMYFUNCTION("IFERROR(INDEX(IMPORTRANGE(""12PgU-zwv8gBrFfxvJpoPIPcxUHWup-vsxMH3HWUigZ8"",""💰 Donations!A4:N200""),25,2),"""")"),"Raghupathy N")</f>
        <v>Raghupathy N</v>
      </c>
      <c r="C111" s="3"/>
      <c r="D111" s="20">
        <f>IFERROR(__xludf.DUMMYFUNCTION("IFERROR(IFERROR(INDEX(IMPORTRANGE(""12PgU-zwv8gBrFfxvJpoPIPcxUHWup-vsxMH3HWUigZ8"",""💰 Donations!A4:N200""),25,3)*1,0),0)"),9500.0)</f>
        <v>9500</v>
      </c>
      <c r="E111" s="39">
        <f>IFERROR(__xludf.DUMMYFUNCTION("IFERROR(IFERROR(INDEX(IMPORTRANGE(""12PgU-zwv8gBrFfxvJpoPIPcxUHWup-vsxMH3HWUigZ8"",""💰 Donations!A4:N200""),25,4)*1,0),0)"),9500.0)</f>
        <v>9500</v>
      </c>
      <c r="F111" s="21">
        <f t="shared" si="5"/>
        <v>0</v>
      </c>
      <c r="G111" s="89" t="str">
        <f t="shared" si="6"/>
        <v>Received</v>
      </c>
      <c r="H111" s="50" t="str">
        <f>IFERROR(__xludf.DUMMYFUNCTION("IFERROR(INDEX(IMPORTRANGE(""12PgU-zwv8gBrFfxvJpoPIPcxUHWup-vsxMH3HWUigZ8"",""💰 Donations!A4:N200""),25,6),"""")"),"UPI")</f>
        <v>UPI</v>
      </c>
      <c r="I111" s="82" t="str">
        <f>IFERROR(__xludf.DUMMYFUNCTION("IFERROR(IF(INDEX(IMPORTRANGE(""12PgU-zwv8gBrFfxvJpoPIPcxUHWup-vsxMH3HWUigZ8"",""💰 Donations!A4:N200""),25,7)="""","""",TEXT(INDEX(IMPORTRANGE(""12PgU-zwv8gBrFfxvJpoPIPcxUHWup-vsxMH3HWUigZ8"",""💰 Donations!A4:N200""),25,7),""DD-MM-YYYY"")),"""")"),"06-03-2026")</f>
        <v>06-03-2026</v>
      </c>
      <c r="J111" s="83" t="str">
        <f>IFERROR(__xludf.DUMMYFUNCTION("IFERROR(INDEX(IMPORTRANGE(""12PgU-zwv8gBrFfxvJpoPIPcxUHWup-vsxMH3HWUigZ8"",""💰 Donations!A4:N200""),25,8),"""")"),"Suresh Velu")</f>
        <v>Suresh Velu</v>
      </c>
      <c r="K111" s="90" t="str">
        <f>IFERROR(__xludf.DUMMYFUNCTION("IFERROR(INDEX(IMPORTRANGE(""12PgU-zwv8gBrFfxvJpoPIPcxUHWup-vsxMH3HWUigZ8"",""💰 Donations!A4:N200""),25,11),"""")"),"Sheet Work")</f>
        <v>Sheet Work</v>
      </c>
      <c r="L111" s="50" t="str">
        <f>IFERROR(__xludf.DUMMYFUNCTION("IFERROR(INDEX(IMPORTRANGE(""12PgU-zwv8gBrFfxvJpoPIPcxUHWup-vsxMH3HWUigZ8"",""💰 Donations!A4:N200""),25,13),"""")"),"Temple Development")</f>
        <v>Temple Development</v>
      </c>
      <c r="M111" s="83" t="str">
        <f>IFERROR(__xludf.DUMMYFUNCTION("IFERROR(INDEX(IMPORTRANGE(""12PgU-zwv8gBrFfxvJpoPIPcxUHWup-vsxMH3HWUigZ8"",""💰 Donations!A4:N200""),25,14),"""")"),"")</f>
        <v/>
      </c>
      <c r="N111" s="82" t="str">
        <f>IFERROR(__xludf.DUMMYFUNCTION("IFERROR(IF(INDEX(IMPORTRANGE(""12PgU-zwv8gBrFfxvJpoPIPcxUHWup-vsxMH3HWUigZ8"",""💰 Donations!A4:N200""),25,10)="""","""",TEXT(INDEX(IMPORTRANGE(""12PgU-zwv8gBrFfxvJpoPIPcxUHWup-vsxMH3HWUigZ8"",""💰 Donations!A4:N200""),25,10),""DD-MM-YYYY"")),"""")"),"")</f>
        <v/>
      </c>
    </row>
    <row r="112" ht="18.0" customHeight="1">
      <c r="A112" s="22" t="str">
        <f>IFERROR(__xludf.DUMMYFUNCTION("IFERROR(INDEX(IMPORTRANGE(""12PgU-zwv8gBrFfxvJpoPIPcxUHWup-vsxMH3HWUigZ8"",""💰 Donations!A4:N200""),26,1),"""")"),"2026/D/27")</f>
        <v>2026/D/27</v>
      </c>
      <c r="B112" s="91" t="str">
        <f>IFERROR(__xludf.DUMMYFUNCTION("IFERROR(INDEX(IMPORTRANGE(""12PgU-zwv8gBrFfxvJpoPIPcxUHWup-vsxMH3HWUigZ8"",""💰 Donations!A4:N200""),26,2),"""")"),"D Sunil Kumar")</f>
        <v>D Sunil Kumar</v>
      </c>
      <c r="C112" s="3"/>
      <c r="D112" s="23">
        <f>IFERROR(__xludf.DUMMYFUNCTION("IFERROR(IFERROR(INDEX(IMPORTRANGE(""12PgU-zwv8gBrFfxvJpoPIPcxUHWup-vsxMH3HWUigZ8"",""💰 Donations!A4:N200""),26,3)*1,0),0)"),15000.0)</f>
        <v>15000</v>
      </c>
      <c r="E112" s="40">
        <f>IFERROR(__xludf.DUMMYFUNCTION("IFERROR(IFERROR(INDEX(IMPORTRANGE(""12PgU-zwv8gBrFfxvJpoPIPcxUHWup-vsxMH3HWUigZ8"",""💰 Donations!A4:N200""),26,4)*1,0),0)"),15000.0)</f>
        <v>15000</v>
      </c>
      <c r="F112" s="24">
        <f t="shared" si="5"/>
        <v>0</v>
      </c>
      <c r="G112" s="92" t="str">
        <f t="shared" si="6"/>
        <v>Received</v>
      </c>
      <c r="H112" s="54" t="str">
        <f>IFERROR(__xludf.DUMMYFUNCTION("IFERROR(INDEX(IMPORTRANGE(""12PgU-zwv8gBrFfxvJpoPIPcxUHWup-vsxMH3HWUigZ8"",""💰 Donations!A4:N200""),26,6),"""")"),"UPI")</f>
        <v>UPI</v>
      </c>
      <c r="I112" s="85" t="str">
        <f>IFERROR(__xludf.DUMMYFUNCTION("IFERROR(IF(INDEX(IMPORTRANGE(""12PgU-zwv8gBrFfxvJpoPIPcxUHWup-vsxMH3HWUigZ8"",""💰 Donations!A4:N200""),26,7)="""","""",TEXT(INDEX(IMPORTRANGE(""12PgU-zwv8gBrFfxvJpoPIPcxUHWup-vsxMH3HWUigZ8"",""💰 Donations!A4:N200""),26,7),""DD-MM-YYYY"")),"""")"),"29-05-2026")</f>
        <v>29-05-2026</v>
      </c>
      <c r="J112" s="86" t="str">
        <f>IFERROR(__xludf.DUMMYFUNCTION("IFERROR(INDEX(IMPORTRANGE(""12PgU-zwv8gBrFfxvJpoPIPcxUHWup-vsxMH3HWUigZ8"",""💰 Donations!A4:N200""),26,8),"""")"),"Sunil Kumar")</f>
        <v>Sunil Kumar</v>
      </c>
      <c r="K112" s="93" t="str">
        <f>IFERROR(__xludf.DUMMYFUNCTION("IFERROR(INDEX(IMPORTRANGE(""12PgU-zwv8gBrFfxvJpoPIPcxUHWup-vsxMH3HWUigZ8"",""💰 Donations!A4:N200""),26,11),"""")"),"Sheet Work")</f>
        <v>Sheet Work</v>
      </c>
      <c r="L112" s="54" t="str">
        <f>IFERROR(__xludf.DUMMYFUNCTION("IFERROR(INDEX(IMPORTRANGE(""12PgU-zwv8gBrFfxvJpoPIPcxUHWup-vsxMH3HWUigZ8"",""💰 Donations!A4:N200""),26,13),"""")"),"Temple Development")</f>
        <v>Temple Development</v>
      </c>
      <c r="M112" s="86" t="str">
        <f>IFERROR(__xludf.DUMMYFUNCTION("IFERROR(INDEX(IMPORTRANGE(""12PgU-zwv8gBrFfxvJpoPIPcxUHWup-vsxMH3HWUigZ8"",""💰 Donations!A4:N200""),26,14),"""")"),"")</f>
        <v/>
      </c>
      <c r="N112" s="85" t="str">
        <f>IFERROR(__xludf.DUMMYFUNCTION("IFERROR(IF(INDEX(IMPORTRANGE(""12PgU-zwv8gBrFfxvJpoPIPcxUHWup-vsxMH3HWUigZ8"",""💰 Donations!A4:N200""),26,10)="""","""",TEXT(INDEX(IMPORTRANGE(""12PgU-zwv8gBrFfxvJpoPIPcxUHWup-vsxMH3HWUigZ8"",""💰 Donations!A4:N200""),26,10),""DD-MM-YYYY"")),"""")"),"")</f>
        <v/>
      </c>
    </row>
    <row r="113" ht="18.0" customHeight="1">
      <c r="A113" s="19" t="str">
        <f>IFERROR(__xludf.DUMMYFUNCTION("IFERROR(INDEX(IMPORTRANGE(""12PgU-zwv8gBrFfxvJpoPIPcxUHWup-vsxMH3HWUigZ8"",""💰 Donations!A4:N200""),27,1),"""")"),"2026/D/28")</f>
        <v>2026/D/28</v>
      </c>
      <c r="B113" s="88" t="str">
        <f>IFERROR(__xludf.DUMMYFUNCTION("IFERROR(INDEX(IMPORTRANGE(""12PgU-zwv8gBrFfxvJpoPIPcxUHWup-vsxMH3HWUigZ8"",""💰 Donations!A4:N200""),27,2),"""")"),"Veena Kumar Chengavar")</f>
        <v>Veena Kumar Chengavar</v>
      </c>
      <c r="C113" s="3"/>
      <c r="D113" s="20">
        <f>IFERROR(__xludf.DUMMYFUNCTION("IFERROR(IFERROR(INDEX(IMPORTRANGE(""12PgU-zwv8gBrFfxvJpoPIPcxUHWup-vsxMH3HWUigZ8"",""💰 Donations!A4:N200""),27,3)*1,0),0)"),20000.0)</f>
        <v>20000</v>
      </c>
      <c r="E113" s="39">
        <f>IFERROR(__xludf.DUMMYFUNCTION("IFERROR(IFERROR(INDEX(IMPORTRANGE(""12PgU-zwv8gBrFfxvJpoPIPcxUHWup-vsxMH3HWUigZ8"",""💰 Donations!A4:N200""),27,4)*1,0),0)"),20000.0)</f>
        <v>20000</v>
      </c>
      <c r="F113" s="21">
        <f t="shared" si="5"/>
        <v>0</v>
      </c>
      <c r="G113" s="89" t="str">
        <f t="shared" si="6"/>
        <v>Received</v>
      </c>
      <c r="H113" s="50" t="str">
        <f>IFERROR(__xludf.DUMMYFUNCTION("IFERROR(INDEX(IMPORTRANGE(""12PgU-zwv8gBrFfxvJpoPIPcxUHWup-vsxMH3HWUigZ8"",""💰 Donations!A4:N200""),27,6),"""")"),"UPI")</f>
        <v>UPI</v>
      </c>
      <c r="I113" s="82" t="str">
        <f>IFERROR(__xludf.DUMMYFUNCTION("IFERROR(IF(INDEX(IMPORTRANGE(""12PgU-zwv8gBrFfxvJpoPIPcxUHWup-vsxMH3HWUigZ8"",""💰 Donations!A4:N200""),27,7)="""","""",TEXT(INDEX(IMPORTRANGE(""12PgU-zwv8gBrFfxvJpoPIPcxUHWup-vsxMH3HWUigZ8"",""💰 Donations!A4:N200""),27,7),""DD-MM-YYYY"")),"""")"),"29-05-2026")</f>
        <v>29-05-2026</v>
      </c>
      <c r="J113" s="83" t="str">
        <f>IFERROR(__xludf.DUMMYFUNCTION("IFERROR(INDEX(IMPORTRANGE(""12PgU-zwv8gBrFfxvJpoPIPcxUHWup-vsxMH3HWUigZ8"",""💰 Donations!A4:N200""),27,8),"""")"),"Sunil Kumar")</f>
        <v>Sunil Kumar</v>
      </c>
      <c r="K113" s="90" t="str">
        <f>IFERROR(__xludf.DUMMYFUNCTION("IFERROR(INDEX(IMPORTRANGE(""12PgU-zwv8gBrFfxvJpoPIPcxUHWup-vsxMH3HWUigZ8"",""💰 Donations!A4:N200""),27,11),"""")"),"Sheet Work")</f>
        <v>Sheet Work</v>
      </c>
      <c r="L113" s="50" t="str">
        <f>IFERROR(__xludf.DUMMYFUNCTION("IFERROR(INDEX(IMPORTRANGE(""12PgU-zwv8gBrFfxvJpoPIPcxUHWup-vsxMH3HWUigZ8"",""💰 Donations!A4:N200""),27,13),"""")"),"Temple Development")</f>
        <v>Temple Development</v>
      </c>
      <c r="M113" s="83" t="str">
        <f>IFERROR(__xludf.DUMMYFUNCTION("IFERROR(INDEX(IMPORTRANGE(""12PgU-zwv8gBrFfxvJpoPIPcxUHWup-vsxMH3HWUigZ8"",""💰 Donations!A4:N200""),27,14),"""")"),"")</f>
        <v/>
      </c>
      <c r="N113" s="82" t="str">
        <f>IFERROR(__xludf.DUMMYFUNCTION("IFERROR(IF(INDEX(IMPORTRANGE(""12PgU-zwv8gBrFfxvJpoPIPcxUHWup-vsxMH3HWUigZ8"",""💰 Donations!A4:N200""),27,10)="""","""",TEXT(INDEX(IMPORTRANGE(""12PgU-zwv8gBrFfxvJpoPIPcxUHWup-vsxMH3HWUigZ8"",""💰 Donations!A4:N200""),27,10),""DD-MM-YYYY"")),"""")"),"")</f>
        <v/>
      </c>
    </row>
    <row r="114" ht="18.0" customHeight="1">
      <c r="A114" s="22" t="str">
        <f>IFERROR(__xludf.DUMMYFUNCTION("IFERROR(INDEX(IMPORTRANGE(""12PgU-zwv8gBrFfxvJpoPIPcxUHWup-vsxMH3HWUigZ8"",""💰 Donations!A4:N200""),28,1),"""")"),"2026/D/29")</f>
        <v>2026/D/29</v>
      </c>
      <c r="B114" s="91" t="str">
        <f>IFERROR(__xludf.DUMMYFUNCTION("IFERROR(INDEX(IMPORTRANGE(""12PgU-zwv8gBrFfxvJpoPIPcxUHWup-vsxMH3HWUigZ8"",""💰 Donations!A4:N200""),28,2),"""")"),"Srinivasan Natesan")</f>
        <v>Srinivasan Natesan</v>
      </c>
      <c r="C114" s="3"/>
      <c r="D114" s="23">
        <f>IFERROR(__xludf.DUMMYFUNCTION("IFERROR(IFERROR(INDEX(IMPORTRANGE(""12PgU-zwv8gBrFfxvJpoPIPcxUHWup-vsxMH3HWUigZ8"",""💰 Donations!A4:N200""),28,3)*1,0),0)"),4000.0)</f>
        <v>4000</v>
      </c>
      <c r="E114" s="40">
        <f>IFERROR(__xludf.DUMMYFUNCTION("IFERROR(IFERROR(INDEX(IMPORTRANGE(""12PgU-zwv8gBrFfxvJpoPIPcxUHWup-vsxMH3HWUigZ8"",""💰 Donations!A4:N200""),28,4)*1,0),0)"),4000.0)</f>
        <v>4000</v>
      </c>
      <c r="F114" s="24">
        <f t="shared" si="5"/>
        <v>0</v>
      </c>
      <c r="G114" s="92" t="str">
        <f t="shared" si="6"/>
        <v>Received</v>
      </c>
      <c r="H114" s="54" t="str">
        <f>IFERROR(__xludf.DUMMYFUNCTION("IFERROR(INDEX(IMPORTRANGE(""12PgU-zwv8gBrFfxvJpoPIPcxUHWup-vsxMH3HWUigZ8"",""💰 Donations!A4:N200""),28,6),"""")"),"Cash")</f>
        <v>Cash</v>
      </c>
      <c r="I114" s="85" t="str">
        <f>IFERROR(__xludf.DUMMYFUNCTION("IFERROR(IF(INDEX(IMPORTRANGE(""12PgU-zwv8gBrFfxvJpoPIPcxUHWup-vsxMH3HWUigZ8"",""💰 Donations!A4:N200""),28,7)="""","""",TEXT(INDEX(IMPORTRANGE(""12PgU-zwv8gBrFfxvJpoPIPcxUHWup-vsxMH3HWUigZ8"",""💰 Donations!A4:N200""),28,7),""DD-MM-YYYY"")),"""")"),"29-05-2026")</f>
        <v>29-05-2026</v>
      </c>
      <c r="J114" s="86" t="str">
        <f>IFERROR(__xludf.DUMMYFUNCTION("IFERROR(INDEX(IMPORTRANGE(""12PgU-zwv8gBrFfxvJpoPIPcxUHWup-vsxMH3HWUigZ8"",""💰 Donations!A4:N200""),28,8),"""")"),"Sunil Kumar")</f>
        <v>Sunil Kumar</v>
      </c>
      <c r="K114" s="93" t="str">
        <f>IFERROR(__xludf.DUMMYFUNCTION("IFERROR(INDEX(IMPORTRANGE(""12PgU-zwv8gBrFfxvJpoPIPcxUHWup-vsxMH3HWUigZ8"",""💰 Donations!A4:N200""),28,11),"""")"),"Sheet Work")</f>
        <v>Sheet Work</v>
      </c>
      <c r="L114" s="54" t="str">
        <f>IFERROR(__xludf.DUMMYFUNCTION("IFERROR(INDEX(IMPORTRANGE(""12PgU-zwv8gBrFfxvJpoPIPcxUHWup-vsxMH3HWUigZ8"",""💰 Donations!A4:N200""),28,13),"""")"),"Temple Development")</f>
        <v>Temple Development</v>
      </c>
      <c r="M114" s="86" t="str">
        <f>IFERROR(__xludf.DUMMYFUNCTION("IFERROR(INDEX(IMPORTRANGE(""12PgU-zwv8gBrFfxvJpoPIPcxUHWup-vsxMH3HWUigZ8"",""💰 Donations!A4:N200""),28,14),"""")"),"")</f>
        <v/>
      </c>
      <c r="N114" s="85" t="str">
        <f>IFERROR(__xludf.DUMMYFUNCTION("IFERROR(IF(INDEX(IMPORTRANGE(""12PgU-zwv8gBrFfxvJpoPIPcxUHWup-vsxMH3HWUigZ8"",""💰 Donations!A4:N200""),28,10)="""","""",TEXT(INDEX(IMPORTRANGE(""12PgU-zwv8gBrFfxvJpoPIPcxUHWup-vsxMH3HWUigZ8"",""💰 Donations!A4:N200""),28,10),""DD-MM-YYYY"")),"""")"),"")</f>
        <v/>
      </c>
    </row>
    <row r="115" ht="18.0" customHeight="1">
      <c r="A115" s="19" t="str">
        <f>IFERROR(__xludf.DUMMYFUNCTION("IFERROR(INDEX(IMPORTRANGE(""12PgU-zwv8gBrFfxvJpoPIPcxUHWup-vsxMH3HWUigZ8"",""💰 Donations!A4:N200""),29,1),"""")"),"2026/D/30")</f>
        <v>2026/D/30</v>
      </c>
      <c r="B115" s="88" t="str">
        <f>IFERROR(__xludf.DUMMYFUNCTION("IFERROR(INDEX(IMPORTRANGE(""12PgU-zwv8gBrFfxvJpoPIPcxUHWup-vsxMH3HWUigZ8"",""💰 Donations!A4:N200""),29,2),"""")"),"Santosh Natesan")</f>
        <v>Santosh Natesan</v>
      </c>
      <c r="C115" s="3"/>
      <c r="D115" s="20">
        <f>IFERROR(__xludf.DUMMYFUNCTION("IFERROR(IFERROR(INDEX(IMPORTRANGE(""12PgU-zwv8gBrFfxvJpoPIPcxUHWup-vsxMH3HWUigZ8"",""💰 Donations!A4:N200""),29,3)*1,0),0)"),5000.0)</f>
        <v>5000</v>
      </c>
      <c r="E115" s="39">
        <f>IFERROR(__xludf.DUMMYFUNCTION("IFERROR(IFERROR(INDEX(IMPORTRANGE(""12PgU-zwv8gBrFfxvJpoPIPcxUHWup-vsxMH3HWUigZ8"",""💰 Donations!A4:N200""),29,4)*1,0),0)"),0.0)</f>
        <v>0</v>
      </c>
      <c r="F115" s="21">
        <f t="shared" si="5"/>
        <v>5000</v>
      </c>
      <c r="G115" s="89" t="str">
        <f t="shared" si="6"/>
        <v>Pending</v>
      </c>
      <c r="H115" s="50" t="str">
        <f>IFERROR(__xludf.DUMMYFUNCTION("IFERROR(INDEX(IMPORTRANGE(""12PgU-zwv8gBrFfxvJpoPIPcxUHWup-vsxMH3HWUigZ8"",""💰 Donations!A4:N200""),29,6),"""")"),"")</f>
        <v/>
      </c>
      <c r="I115" s="82" t="str">
        <f>IFERROR(__xludf.DUMMYFUNCTION("IFERROR(IF(INDEX(IMPORTRANGE(""12PgU-zwv8gBrFfxvJpoPIPcxUHWup-vsxMH3HWUigZ8"",""💰 Donations!A4:N200""),29,7)="""","""",TEXT(INDEX(IMPORTRANGE(""12PgU-zwv8gBrFfxvJpoPIPcxUHWup-vsxMH3HWUigZ8"",""💰 Donations!A4:N200""),29,7),""DD-MM-YYYY"")),"""")"),"")</f>
        <v/>
      </c>
      <c r="J115" s="83" t="str">
        <f>IFERROR(__xludf.DUMMYFUNCTION("IFERROR(INDEX(IMPORTRANGE(""12PgU-zwv8gBrFfxvJpoPIPcxUHWup-vsxMH3HWUigZ8"",""💰 Donations!A4:N200""),29,8),"""")"),"")</f>
        <v/>
      </c>
      <c r="K115" s="90" t="str">
        <f>IFERROR(__xludf.DUMMYFUNCTION("IFERROR(INDEX(IMPORTRANGE(""12PgU-zwv8gBrFfxvJpoPIPcxUHWup-vsxMH3HWUigZ8"",""💰 Donations!A4:N200""),29,11),"""")"),"Sheet Work")</f>
        <v>Sheet Work</v>
      </c>
      <c r="L115" s="50" t="str">
        <f>IFERROR(__xludf.DUMMYFUNCTION("IFERROR(INDEX(IMPORTRANGE(""12PgU-zwv8gBrFfxvJpoPIPcxUHWup-vsxMH3HWUigZ8"",""💰 Donations!A4:N200""),29,13),"""")"),"Temple Development")</f>
        <v>Temple Development</v>
      </c>
      <c r="M115" s="83" t="str">
        <f>IFERROR(__xludf.DUMMYFUNCTION("IFERROR(INDEX(IMPORTRANGE(""12PgU-zwv8gBrFfxvJpoPIPcxUHWup-vsxMH3HWUigZ8"",""💰 Donations!A4:N200""),29,14),"""")"),"")</f>
        <v/>
      </c>
      <c r="N115" s="82" t="str">
        <f>IFERROR(__xludf.DUMMYFUNCTION("IFERROR(IF(INDEX(IMPORTRANGE(""12PgU-zwv8gBrFfxvJpoPIPcxUHWup-vsxMH3HWUigZ8"",""💰 Donations!A4:N200""),29,10)="""","""",TEXT(INDEX(IMPORTRANGE(""12PgU-zwv8gBrFfxvJpoPIPcxUHWup-vsxMH3HWUigZ8"",""💰 Donations!A4:N200""),29,10),""DD-MM-YYYY"")),"""")"),"")</f>
        <v/>
      </c>
    </row>
    <row r="116" ht="18.0" customHeight="1">
      <c r="A116" s="22" t="str">
        <f>IFERROR(__xludf.DUMMYFUNCTION("IFERROR(INDEX(IMPORTRANGE(""12PgU-zwv8gBrFfxvJpoPIPcxUHWup-vsxMH3HWUigZ8"",""💰 Donations!A4:N200""),30,1),"""")"),"2026/D/31")</f>
        <v>2026/D/31</v>
      </c>
      <c r="B116" s="91" t="str">
        <f>IFERROR(__xludf.DUMMYFUNCTION("IFERROR(INDEX(IMPORTRANGE(""12PgU-zwv8gBrFfxvJpoPIPcxUHWup-vsxMH3HWUigZ8"",""💰 Donations!A4:N200""),30,2),"""")"),"Suresh Velu")</f>
        <v>Suresh Velu</v>
      </c>
      <c r="C116" s="3"/>
      <c r="D116" s="23">
        <f>IFERROR(__xludf.DUMMYFUNCTION("IFERROR(IFERROR(INDEX(IMPORTRANGE(""12PgU-zwv8gBrFfxvJpoPIPcxUHWup-vsxMH3HWUigZ8"",""💰 Donations!A4:N200""),30,3)*1,0),0)"),15000.0)</f>
        <v>15000</v>
      </c>
      <c r="E116" s="40">
        <f>IFERROR(__xludf.DUMMYFUNCTION("IFERROR(IFERROR(INDEX(IMPORTRANGE(""12PgU-zwv8gBrFfxvJpoPIPcxUHWup-vsxMH3HWUigZ8"",""💰 Donations!A4:N200""),30,4)*1,0),0)"),15000.0)</f>
        <v>15000</v>
      </c>
      <c r="F116" s="24">
        <f t="shared" si="5"/>
        <v>0</v>
      </c>
      <c r="G116" s="92" t="str">
        <f t="shared" si="6"/>
        <v>Received</v>
      </c>
      <c r="H116" s="54" t="str">
        <f>IFERROR(__xludf.DUMMYFUNCTION("IFERROR(INDEX(IMPORTRANGE(""12PgU-zwv8gBrFfxvJpoPIPcxUHWup-vsxMH3HWUigZ8"",""💰 Donations!A4:N200""),30,6),"""")"),"Cash")</f>
        <v>Cash</v>
      </c>
      <c r="I116" s="85" t="str">
        <f>IFERROR(__xludf.DUMMYFUNCTION("IFERROR(IF(INDEX(IMPORTRANGE(""12PgU-zwv8gBrFfxvJpoPIPcxUHWup-vsxMH3HWUigZ8"",""💰 Donations!A4:N200""),30,7)="""","""",TEXT(INDEX(IMPORTRANGE(""12PgU-zwv8gBrFfxvJpoPIPcxUHWup-vsxMH3HWUigZ8"",""💰 Donations!A4:N200""),30,7),""DD-MM-YYYY"")),"""")"),"06-03-2026")</f>
        <v>06-03-2026</v>
      </c>
      <c r="J116" s="86" t="str">
        <f>IFERROR(__xludf.DUMMYFUNCTION("IFERROR(INDEX(IMPORTRANGE(""12PgU-zwv8gBrFfxvJpoPIPcxUHWup-vsxMH3HWUigZ8"",""💰 Donations!A4:N200""),30,8),"""")"),"Suresh Velu")</f>
        <v>Suresh Velu</v>
      </c>
      <c r="K116" s="93" t="str">
        <f>IFERROR(__xludf.DUMMYFUNCTION("IFERROR(INDEX(IMPORTRANGE(""12PgU-zwv8gBrFfxvJpoPIPcxUHWup-vsxMH3HWUigZ8"",""💰 Donations!A4:N200""),30,11),"""")"),"Sheet Work")</f>
        <v>Sheet Work</v>
      </c>
      <c r="L116" s="54" t="str">
        <f>IFERROR(__xludf.DUMMYFUNCTION("IFERROR(INDEX(IMPORTRANGE(""12PgU-zwv8gBrFfxvJpoPIPcxUHWup-vsxMH3HWUigZ8"",""💰 Donations!A4:N200""),30,13),"""")"),"Temple Development")</f>
        <v>Temple Development</v>
      </c>
      <c r="M116" s="86" t="str">
        <f>IFERROR(__xludf.DUMMYFUNCTION("IFERROR(INDEX(IMPORTRANGE(""12PgU-zwv8gBrFfxvJpoPIPcxUHWup-vsxMH3HWUigZ8"",""💰 Donations!A4:N200""),30,14),"""")"),"")</f>
        <v/>
      </c>
      <c r="N116" s="85" t="str">
        <f>IFERROR(__xludf.DUMMYFUNCTION("IFERROR(IF(INDEX(IMPORTRANGE(""12PgU-zwv8gBrFfxvJpoPIPcxUHWup-vsxMH3HWUigZ8"",""💰 Donations!A4:N200""),30,10)="""","""",TEXT(INDEX(IMPORTRANGE(""12PgU-zwv8gBrFfxvJpoPIPcxUHWup-vsxMH3HWUigZ8"",""💰 Donations!A4:N200""),30,10),""DD-MM-YYYY"")),"""")"),"")</f>
        <v/>
      </c>
    </row>
    <row r="117" ht="18.0" customHeight="1">
      <c r="A117" s="19" t="str">
        <f>IFERROR(__xludf.DUMMYFUNCTION("IFERROR(INDEX(IMPORTRANGE(""12PgU-zwv8gBrFfxvJpoPIPcxUHWup-vsxMH3HWUigZ8"",""💰 Donations!A4:N200""),31,1),"""")"),"2026/D/32")</f>
        <v>2026/D/32</v>
      </c>
      <c r="B117" s="88" t="str">
        <f>IFERROR(__xludf.DUMMYFUNCTION("IFERROR(INDEX(IMPORTRANGE(""12PgU-zwv8gBrFfxvJpoPIPcxUHWup-vsxMH3HWUigZ8"",""💰 Donations!A4:N200""),31,2),"""")"),"D Gopalakrishnan")</f>
        <v>D Gopalakrishnan</v>
      </c>
      <c r="C117" s="3"/>
      <c r="D117" s="20">
        <f>IFERROR(__xludf.DUMMYFUNCTION("IFERROR(IFERROR(INDEX(IMPORTRANGE(""12PgU-zwv8gBrFfxvJpoPIPcxUHWup-vsxMH3HWUigZ8"",""💰 Donations!A4:N200""),31,3)*1,0),0)"),20000.0)</f>
        <v>20000</v>
      </c>
      <c r="E117" s="39">
        <f>IFERROR(__xludf.DUMMYFUNCTION("IFERROR(IFERROR(INDEX(IMPORTRANGE(""12PgU-zwv8gBrFfxvJpoPIPcxUHWup-vsxMH3HWUigZ8"",""💰 Donations!A4:N200""),31,4)*1,0),0)"),20000.0)</f>
        <v>20000</v>
      </c>
      <c r="F117" s="21">
        <f t="shared" si="5"/>
        <v>0</v>
      </c>
      <c r="G117" s="89" t="str">
        <f t="shared" si="6"/>
        <v>Received</v>
      </c>
      <c r="H117" s="50" t="str">
        <f>IFERROR(__xludf.DUMMYFUNCTION("IFERROR(INDEX(IMPORTRANGE(""12PgU-zwv8gBrFfxvJpoPIPcxUHWup-vsxMH3HWUigZ8"",""💰 Donations!A4:N200""),31,6),"""")"),"UPI")</f>
        <v>UPI</v>
      </c>
      <c r="I117" s="82" t="str">
        <f>IFERROR(__xludf.DUMMYFUNCTION("IFERROR(IF(INDEX(IMPORTRANGE(""12PgU-zwv8gBrFfxvJpoPIPcxUHWup-vsxMH3HWUigZ8"",""💰 Donations!A4:N200""),31,7)="""","""",TEXT(INDEX(IMPORTRANGE(""12PgU-zwv8gBrFfxvJpoPIPcxUHWup-vsxMH3HWUigZ8"",""💰 Donations!A4:N200""),31,7),""DD-MM-YYYY"")),"""")"),"06-06-2026")</f>
        <v>06-06-2026</v>
      </c>
      <c r="J117" s="83" t="str">
        <f>IFERROR(__xludf.DUMMYFUNCTION("IFERROR(INDEX(IMPORTRANGE(""12PgU-zwv8gBrFfxvJpoPIPcxUHWup-vsxMH3HWUigZ8"",""💰 Donations!A4:N200""),31,8),"""")"),"Sunil Kumar")</f>
        <v>Sunil Kumar</v>
      </c>
      <c r="K117" s="90" t="str">
        <f>IFERROR(__xludf.DUMMYFUNCTION("IFERROR(INDEX(IMPORTRANGE(""12PgU-zwv8gBrFfxvJpoPIPcxUHWup-vsxMH3HWUigZ8"",""💰 Donations!A4:N200""),31,11),"""")"),"Sheet Work")</f>
        <v>Sheet Work</v>
      </c>
      <c r="L117" s="50" t="str">
        <f>IFERROR(__xludf.DUMMYFUNCTION("IFERROR(INDEX(IMPORTRANGE(""12PgU-zwv8gBrFfxvJpoPIPcxUHWup-vsxMH3HWUigZ8"",""💰 Donations!A4:N200""),31,13),"""")"),"Temple Development")</f>
        <v>Temple Development</v>
      </c>
      <c r="M117" s="83" t="str">
        <f>IFERROR(__xludf.DUMMYFUNCTION("IFERROR(INDEX(IMPORTRANGE(""12PgU-zwv8gBrFfxvJpoPIPcxUHWup-vsxMH3HWUigZ8"",""💰 Donations!A4:N200""),31,14),"""")"),"")</f>
        <v/>
      </c>
      <c r="N117" s="82" t="str">
        <f>IFERROR(__xludf.DUMMYFUNCTION("IFERROR(IF(INDEX(IMPORTRANGE(""12PgU-zwv8gBrFfxvJpoPIPcxUHWup-vsxMH3HWUigZ8"",""💰 Donations!A4:N200""),31,10)="""","""",TEXT(INDEX(IMPORTRANGE(""12PgU-zwv8gBrFfxvJpoPIPcxUHWup-vsxMH3HWUigZ8"",""💰 Donations!A4:N200""),31,10),""DD-MM-YYYY"")),"""")"),"")</f>
        <v/>
      </c>
    </row>
    <row r="118" ht="18.0" customHeight="1">
      <c r="A118" s="22" t="str">
        <f>IFERROR(__xludf.DUMMYFUNCTION("IFERROR(INDEX(IMPORTRANGE(""12PgU-zwv8gBrFfxvJpoPIPcxUHWup-vsxMH3HWUigZ8"",""💰 Donations!A4:N200""),32,1),"""")"),"2026/D/33")</f>
        <v>2026/D/33</v>
      </c>
      <c r="B118" s="91" t="str">
        <f>IFERROR(__xludf.DUMMYFUNCTION("IFERROR(INDEX(IMPORTRANGE(""12PgU-zwv8gBrFfxvJpoPIPcxUHWup-vsxMH3HWUigZ8"",""💰 Donations!A4:N200""),32,2),"""")"),"Dharmalingam R")</f>
        <v>Dharmalingam R</v>
      </c>
      <c r="C118" s="3"/>
      <c r="D118" s="23">
        <f>IFERROR(__xludf.DUMMYFUNCTION("IFERROR(IFERROR(INDEX(IMPORTRANGE(""12PgU-zwv8gBrFfxvJpoPIPcxUHWup-vsxMH3HWUigZ8"",""💰 Donations!A4:N200""),32,3)*1,0),0)"),2001.0)</f>
        <v>2001</v>
      </c>
      <c r="E118" s="40">
        <f>IFERROR(__xludf.DUMMYFUNCTION("IFERROR(IFERROR(INDEX(IMPORTRANGE(""12PgU-zwv8gBrFfxvJpoPIPcxUHWup-vsxMH3HWUigZ8"",""💰 Donations!A4:N200""),32,4)*1,0),0)"),2001.0)</f>
        <v>2001</v>
      </c>
      <c r="F118" s="24">
        <f t="shared" si="5"/>
        <v>0</v>
      </c>
      <c r="G118" s="92" t="str">
        <f t="shared" si="6"/>
        <v>Received</v>
      </c>
      <c r="H118" s="54" t="str">
        <f>IFERROR(__xludf.DUMMYFUNCTION("IFERROR(INDEX(IMPORTRANGE(""12PgU-zwv8gBrFfxvJpoPIPcxUHWup-vsxMH3HWUigZ8"",""💰 Donations!A4:N200""),32,6),"""")"),"Cash")</f>
        <v>Cash</v>
      </c>
      <c r="I118" s="85" t="str">
        <f>IFERROR(__xludf.DUMMYFUNCTION("IFERROR(IF(INDEX(IMPORTRANGE(""12PgU-zwv8gBrFfxvJpoPIPcxUHWup-vsxMH3HWUigZ8"",""💰 Donations!A4:N200""),32,7)="""","""",TEXT(INDEX(IMPORTRANGE(""12PgU-zwv8gBrFfxvJpoPIPcxUHWup-vsxMH3HWUigZ8"",""💰 Donations!A4:N200""),32,7),""DD-MM-YYYY"")),"""")"),"06-06-2026")</f>
        <v>06-06-2026</v>
      </c>
      <c r="J118" s="86" t="str">
        <f>IFERROR(__xludf.DUMMYFUNCTION("IFERROR(INDEX(IMPORTRANGE(""12PgU-zwv8gBrFfxvJpoPIPcxUHWup-vsxMH3HWUigZ8"",""💰 Donations!A4:N200""),32,8),"""")"),"Suresh Velu")</f>
        <v>Suresh Velu</v>
      </c>
      <c r="K118" s="93" t="str">
        <f>IFERROR(__xludf.DUMMYFUNCTION("IFERROR(INDEX(IMPORTRANGE(""12PgU-zwv8gBrFfxvJpoPIPcxUHWup-vsxMH3HWUigZ8"",""💰 Donations!A4:N200""),32,11),"""")"),"")</f>
        <v/>
      </c>
      <c r="L118" s="54" t="str">
        <f>IFERROR(__xludf.DUMMYFUNCTION("IFERROR(INDEX(IMPORTRANGE(""12PgU-zwv8gBrFfxvJpoPIPcxUHWup-vsxMH3HWUigZ8"",""💰 Donations!A4:N200""),32,13),"""")"),"Aadi Festival")</f>
        <v>Aadi Festival</v>
      </c>
      <c r="M118" s="86" t="str">
        <f>IFERROR(__xludf.DUMMYFUNCTION("IFERROR(INDEX(IMPORTRANGE(""12PgU-zwv8gBrFfxvJpoPIPcxUHWup-vsxMH3HWUigZ8"",""💰 Donations!A4:N200""),32,14),"""")"),"")</f>
        <v/>
      </c>
      <c r="N118" s="85" t="str">
        <f>IFERROR(__xludf.DUMMYFUNCTION("IFERROR(IF(INDEX(IMPORTRANGE(""12PgU-zwv8gBrFfxvJpoPIPcxUHWup-vsxMH3HWUigZ8"",""💰 Donations!A4:N200""),32,10)="""","""",TEXT(INDEX(IMPORTRANGE(""12PgU-zwv8gBrFfxvJpoPIPcxUHWup-vsxMH3HWUigZ8"",""💰 Donations!A4:N200""),32,10),""DD-MM-YYYY"")),"""")"),"")</f>
        <v/>
      </c>
    </row>
    <row r="119" ht="18.0" customHeight="1">
      <c r="A119" s="19" t="str">
        <f>IFERROR(__xludf.DUMMYFUNCTION("IFERROR(INDEX(IMPORTRANGE(""12PgU-zwv8gBrFfxvJpoPIPcxUHWup-vsxMH3HWUigZ8"",""💰 Donations!A4:N200""),33,1),"""")"),"2026/D/34")</f>
        <v>2026/D/34</v>
      </c>
      <c r="B119" s="88" t="str">
        <f>IFERROR(__xludf.DUMMYFUNCTION("IFERROR(INDEX(IMPORTRANGE(""12PgU-zwv8gBrFfxvJpoPIPcxUHWup-vsxMH3HWUigZ8"",""💰 Donations!A4:N200""),33,2),"""")"),"D Chamudeshwari")</f>
        <v>D Chamudeshwari</v>
      </c>
      <c r="C119" s="3"/>
      <c r="D119" s="20">
        <f>IFERROR(__xludf.DUMMYFUNCTION("IFERROR(IFERROR(INDEX(IMPORTRANGE(""12PgU-zwv8gBrFfxvJpoPIPcxUHWup-vsxMH3HWUigZ8"",""💰 Donations!A4:N200""),33,3)*1,0),0)"),2001.0)</f>
        <v>2001</v>
      </c>
      <c r="E119" s="39">
        <f>IFERROR(__xludf.DUMMYFUNCTION("IFERROR(IFERROR(INDEX(IMPORTRANGE(""12PgU-zwv8gBrFfxvJpoPIPcxUHWup-vsxMH3HWUigZ8"",""💰 Donations!A4:N200""),33,4)*1,0),0)"),2001.0)</f>
        <v>2001</v>
      </c>
      <c r="F119" s="21">
        <f t="shared" si="5"/>
        <v>0</v>
      </c>
      <c r="G119" s="89" t="str">
        <f t="shared" si="6"/>
        <v>Received</v>
      </c>
      <c r="H119" s="50" t="str">
        <f>IFERROR(__xludf.DUMMYFUNCTION("IFERROR(INDEX(IMPORTRANGE(""12PgU-zwv8gBrFfxvJpoPIPcxUHWup-vsxMH3HWUigZ8"",""💰 Donations!A4:N200""),33,6),"""")"),"Cash")</f>
        <v>Cash</v>
      </c>
      <c r="I119" s="82" t="str">
        <f>IFERROR(__xludf.DUMMYFUNCTION("IFERROR(IF(INDEX(IMPORTRANGE(""12PgU-zwv8gBrFfxvJpoPIPcxUHWup-vsxMH3HWUigZ8"",""💰 Donations!A4:N200""),33,7)="""","""",TEXT(INDEX(IMPORTRANGE(""12PgU-zwv8gBrFfxvJpoPIPcxUHWup-vsxMH3HWUigZ8"",""💰 Donations!A4:N200""),33,7),""DD-MM-YYYY"")),"""")"),"06-06-2026")</f>
        <v>06-06-2026</v>
      </c>
      <c r="J119" s="83" t="str">
        <f>IFERROR(__xludf.DUMMYFUNCTION("IFERROR(INDEX(IMPORTRANGE(""12PgU-zwv8gBrFfxvJpoPIPcxUHWup-vsxMH3HWUigZ8"",""💰 Donations!A4:N200""),33,8),"""")"),"Suresh Velu")</f>
        <v>Suresh Velu</v>
      </c>
      <c r="K119" s="90" t="str">
        <f>IFERROR(__xludf.DUMMYFUNCTION("IFERROR(INDEX(IMPORTRANGE(""12PgU-zwv8gBrFfxvJpoPIPcxUHWup-vsxMH3HWUigZ8"",""💰 Donations!A4:N200""),33,11),"""")"),"")</f>
        <v/>
      </c>
      <c r="L119" s="50" t="str">
        <f>IFERROR(__xludf.DUMMYFUNCTION("IFERROR(INDEX(IMPORTRANGE(""12PgU-zwv8gBrFfxvJpoPIPcxUHWup-vsxMH3HWUigZ8"",""💰 Donations!A4:N200""),33,13),"""")"),"Aadi Festival")</f>
        <v>Aadi Festival</v>
      </c>
      <c r="M119" s="83" t="str">
        <f>IFERROR(__xludf.DUMMYFUNCTION("IFERROR(INDEX(IMPORTRANGE(""12PgU-zwv8gBrFfxvJpoPIPcxUHWup-vsxMH3HWUigZ8"",""💰 Donations!A4:N200""),33,14),"""")"),"")</f>
        <v/>
      </c>
      <c r="N119" s="82" t="str">
        <f>IFERROR(__xludf.DUMMYFUNCTION("IFERROR(IF(INDEX(IMPORTRANGE(""12PgU-zwv8gBrFfxvJpoPIPcxUHWup-vsxMH3HWUigZ8"",""💰 Donations!A4:N200""),33,10)="""","""",TEXT(INDEX(IMPORTRANGE(""12PgU-zwv8gBrFfxvJpoPIPcxUHWup-vsxMH3HWUigZ8"",""💰 Donations!A4:N200""),33,10),""DD-MM-YYYY"")),"""")"),"")</f>
        <v/>
      </c>
    </row>
    <row r="120" ht="18.0" customHeight="1">
      <c r="A120" s="22" t="str">
        <f>IFERROR(__xludf.DUMMYFUNCTION("IFERROR(INDEX(IMPORTRANGE(""12PgU-zwv8gBrFfxvJpoPIPcxUHWup-vsxMH3HWUigZ8"",""💰 Donations!A4:N200""),34,1),"""")"),"2026/D/35")</f>
        <v>2026/D/35</v>
      </c>
      <c r="B120" s="91" t="str">
        <f>IFERROR(__xludf.DUMMYFUNCTION("IFERROR(INDEX(IMPORTRANGE(""12PgU-zwv8gBrFfxvJpoPIPcxUHWup-vsxMH3HWUigZ8"",""💰 Donations!A4:N200""),34,2),"""")"),"A Vijayalakshmi")</f>
        <v>A Vijayalakshmi</v>
      </c>
      <c r="C120" s="3"/>
      <c r="D120" s="23">
        <f>IFERROR(__xludf.DUMMYFUNCTION("IFERROR(IFERROR(INDEX(IMPORTRANGE(""12PgU-zwv8gBrFfxvJpoPIPcxUHWup-vsxMH3HWUigZ8"",""💰 Donations!A4:N200""),34,3)*1,0),0)"),800.0)</f>
        <v>800</v>
      </c>
      <c r="E120" s="40">
        <f>IFERROR(__xludf.DUMMYFUNCTION("IFERROR(IFERROR(INDEX(IMPORTRANGE(""12PgU-zwv8gBrFfxvJpoPIPcxUHWup-vsxMH3HWUigZ8"",""💰 Donations!A4:N200""),34,4)*1,0),0)"),800.0)</f>
        <v>800</v>
      </c>
      <c r="F120" s="24">
        <f t="shared" si="5"/>
        <v>0</v>
      </c>
      <c r="G120" s="92" t="str">
        <f t="shared" si="6"/>
        <v>Received</v>
      </c>
      <c r="H120" s="54" t="str">
        <f>IFERROR(__xludf.DUMMYFUNCTION("IFERROR(INDEX(IMPORTRANGE(""12PgU-zwv8gBrFfxvJpoPIPcxUHWup-vsxMH3HWUigZ8"",""💰 Donations!A4:N200""),34,6),"""")"),"Cash")</f>
        <v>Cash</v>
      </c>
      <c r="I120" s="85" t="str">
        <f>IFERROR(__xludf.DUMMYFUNCTION("IFERROR(IF(INDEX(IMPORTRANGE(""12PgU-zwv8gBrFfxvJpoPIPcxUHWup-vsxMH3HWUigZ8"",""💰 Donations!A4:N200""),34,7)="""","""",TEXT(INDEX(IMPORTRANGE(""12PgU-zwv8gBrFfxvJpoPIPcxUHWup-vsxMH3HWUigZ8"",""💰 Donations!A4:N200""),34,7),""DD-MM-YYYY"")),"""")"),"06-06-2026")</f>
        <v>06-06-2026</v>
      </c>
      <c r="J120" s="86" t="str">
        <f>IFERROR(__xludf.DUMMYFUNCTION("IFERROR(INDEX(IMPORTRANGE(""12PgU-zwv8gBrFfxvJpoPIPcxUHWup-vsxMH3HWUigZ8"",""💰 Donations!A4:N200""),34,8),"""")"),"Sunil Kumar")</f>
        <v>Sunil Kumar</v>
      </c>
      <c r="K120" s="93" t="str">
        <f>IFERROR(__xludf.DUMMYFUNCTION("IFERROR(INDEX(IMPORTRANGE(""12PgU-zwv8gBrFfxvJpoPIPcxUHWup-vsxMH3HWUigZ8"",""💰 Donations!A4:N200""),34,11),"""")"),"")</f>
        <v/>
      </c>
      <c r="L120" s="54" t="str">
        <f>IFERROR(__xludf.DUMMYFUNCTION("IFERROR(INDEX(IMPORTRANGE(""12PgU-zwv8gBrFfxvJpoPIPcxUHWup-vsxMH3HWUigZ8"",""💰 Donations!A4:N200""),34,13),"""")"),"Birthday Pooja")</f>
        <v>Birthday Pooja</v>
      </c>
      <c r="M120" s="86" t="str">
        <f>IFERROR(__xludf.DUMMYFUNCTION("IFERROR(INDEX(IMPORTRANGE(""12PgU-zwv8gBrFfxvJpoPIPcxUHWup-vsxMH3HWUigZ8"",""💰 Donations!A4:N200""),34,14),"""")"),"Arjun — 16-06")</f>
        <v>Arjun — 16-06</v>
      </c>
      <c r="N120" s="85" t="str">
        <f>IFERROR(__xludf.DUMMYFUNCTION("IFERROR(IF(INDEX(IMPORTRANGE(""12PgU-zwv8gBrFfxvJpoPIPcxUHWup-vsxMH3HWUigZ8"",""💰 Donations!A4:N200""),34,10)="""","""",TEXT(INDEX(IMPORTRANGE(""12PgU-zwv8gBrFfxvJpoPIPcxUHWup-vsxMH3HWUigZ8"",""💰 Donations!A4:N200""),34,10),""DD-MM-YYYY"")),"""")"),"")</f>
        <v/>
      </c>
    </row>
    <row r="121" ht="18.0" customHeight="1">
      <c r="A121" s="19" t="str">
        <f>IFERROR(__xludf.DUMMYFUNCTION("IFERROR(INDEX(IMPORTRANGE(""12PgU-zwv8gBrFfxvJpoPIPcxUHWup-vsxMH3HWUigZ8"",""💰 Donations!A4:N200""),35,1),"""")"),"2026/D/36")</f>
        <v>2026/D/36</v>
      </c>
      <c r="B121" s="88" t="str">
        <f>IFERROR(__xludf.DUMMYFUNCTION("IFERROR(INDEX(IMPORTRANGE(""12PgU-zwv8gBrFfxvJpoPIPcxUHWup-vsxMH3HWUigZ8"",""💰 Donations!A4:N200""),35,2),"""")"),"R Ashok Kumar")</f>
        <v>R Ashok Kumar</v>
      </c>
      <c r="C121" s="3"/>
      <c r="D121" s="20">
        <f>IFERROR(__xludf.DUMMYFUNCTION("IFERROR(IFERROR(INDEX(IMPORTRANGE(""12PgU-zwv8gBrFfxvJpoPIPcxUHWup-vsxMH3HWUigZ8"",""💰 Donations!A4:N200""),35,3)*1,0),0)"),5000.0)</f>
        <v>5000</v>
      </c>
      <c r="E121" s="39">
        <f>IFERROR(__xludf.DUMMYFUNCTION("IFERROR(IFERROR(INDEX(IMPORTRANGE(""12PgU-zwv8gBrFfxvJpoPIPcxUHWup-vsxMH3HWUigZ8"",""💰 Donations!A4:N200""),35,4)*1,0),0)"),5000.0)</f>
        <v>5000</v>
      </c>
      <c r="F121" s="21">
        <f t="shared" si="5"/>
        <v>0</v>
      </c>
      <c r="G121" s="89" t="str">
        <f t="shared" si="6"/>
        <v>Received</v>
      </c>
      <c r="H121" s="50" t="str">
        <f>IFERROR(__xludf.DUMMYFUNCTION("IFERROR(INDEX(IMPORTRANGE(""12PgU-zwv8gBrFfxvJpoPIPcxUHWup-vsxMH3HWUigZ8"",""💰 Donations!A4:N200""),35,6),"""")"),"Cash")</f>
        <v>Cash</v>
      </c>
      <c r="I121" s="82" t="str">
        <f>IFERROR(__xludf.DUMMYFUNCTION("IFERROR(IF(INDEX(IMPORTRANGE(""12PgU-zwv8gBrFfxvJpoPIPcxUHWup-vsxMH3HWUigZ8"",""💰 Donations!A4:N200""),35,7)="""","""",TEXT(INDEX(IMPORTRANGE(""12PgU-zwv8gBrFfxvJpoPIPcxUHWup-vsxMH3HWUigZ8"",""💰 Donations!A4:N200""),35,7),""DD-MM-YYYY"")),"""")"),"06-06-2026")</f>
        <v>06-06-2026</v>
      </c>
      <c r="J121" s="83" t="str">
        <f>IFERROR(__xludf.DUMMYFUNCTION("IFERROR(INDEX(IMPORTRANGE(""12PgU-zwv8gBrFfxvJpoPIPcxUHWup-vsxMH3HWUigZ8"",""💰 Donations!A4:N200""),35,8),"""")"),"Suresh Velu")</f>
        <v>Suresh Velu</v>
      </c>
      <c r="K121" s="90" t="str">
        <f>IFERROR(__xludf.DUMMYFUNCTION("IFERROR(INDEX(IMPORTRANGE(""12PgU-zwv8gBrFfxvJpoPIPcxUHWup-vsxMH3HWUigZ8"",""💰 Donations!A4:N200""),35,11),"""")"),"")</f>
        <v/>
      </c>
      <c r="L121" s="50" t="str">
        <f>IFERROR(__xludf.DUMMYFUNCTION("IFERROR(INDEX(IMPORTRANGE(""12PgU-zwv8gBrFfxvJpoPIPcxUHWup-vsxMH3HWUigZ8"",""💰 Donations!A4:N200""),35,13),"""")"),"Aadi Festival")</f>
        <v>Aadi Festival</v>
      </c>
      <c r="M121" s="83" t="str">
        <f>IFERROR(__xludf.DUMMYFUNCTION("IFERROR(INDEX(IMPORTRANGE(""12PgU-zwv8gBrFfxvJpoPIPcxUHWup-vsxMH3HWUigZ8"",""💰 Donations!A4:N200""),35,14),"""")"),"")</f>
        <v/>
      </c>
      <c r="N121" s="82" t="str">
        <f>IFERROR(__xludf.DUMMYFUNCTION("IFERROR(IF(INDEX(IMPORTRANGE(""12PgU-zwv8gBrFfxvJpoPIPcxUHWup-vsxMH3HWUigZ8"",""💰 Donations!A4:N200""),35,10)="""","""",TEXT(INDEX(IMPORTRANGE(""12PgU-zwv8gBrFfxvJpoPIPcxUHWup-vsxMH3HWUigZ8"",""💰 Donations!A4:N200""),35,10),""DD-MM-YYYY"")),"""")"),"")</f>
        <v/>
      </c>
    </row>
    <row r="122" ht="18.0" customHeight="1">
      <c r="A122" s="22" t="str">
        <f>IFERROR(__xludf.DUMMYFUNCTION("IFERROR(INDEX(IMPORTRANGE(""12PgU-zwv8gBrFfxvJpoPIPcxUHWup-vsxMH3HWUigZ8"",""💰 Donations!A4:N200""),36,1),"""")"),"2026/D/37")</f>
        <v>2026/D/37</v>
      </c>
      <c r="B122" s="91" t="str">
        <f>IFERROR(__xludf.DUMMYFUNCTION("IFERROR(INDEX(IMPORTRANGE(""12PgU-zwv8gBrFfxvJpoPIPcxUHWup-vsxMH3HWUigZ8"",""💰 Donations!A4:N200""),36,2),"""")"),"Perumal R")</f>
        <v>Perumal R</v>
      </c>
      <c r="C122" s="3"/>
      <c r="D122" s="23">
        <f>IFERROR(__xludf.DUMMYFUNCTION("IFERROR(IFERROR(INDEX(IMPORTRANGE(""12PgU-zwv8gBrFfxvJpoPIPcxUHWup-vsxMH3HWUigZ8"",""💰 Donations!A4:N200""),36,3)*1,0),0)"),101.0)</f>
        <v>101</v>
      </c>
      <c r="E122" s="40">
        <f>IFERROR(__xludf.DUMMYFUNCTION("IFERROR(IFERROR(INDEX(IMPORTRANGE(""12PgU-zwv8gBrFfxvJpoPIPcxUHWup-vsxMH3HWUigZ8"",""💰 Donations!A4:N200""),36,4)*1,0),0)"),101.0)</f>
        <v>101</v>
      </c>
      <c r="F122" s="24">
        <f t="shared" si="5"/>
        <v>0</v>
      </c>
      <c r="G122" s="92" t="str">
        <f t="shared" si="6"/>
        <v>Received</v>
      </c>
      <c r="H122" s="54" t="str">
        <f>IFERROR(__xludf.DUMMYFUNCTION("IFERROR(INDEX(IMPORTRANGE(""12PgU-zwv8gBrFfxvJpoPIPcxUHWup-vsxMH3HWUigZ8"",""💰 Donations!A4:N200""),36,6),"""")"),"UPI")</f>
        <v>UPI</v>
      </c>
      <c r="I122" s="85" t="str">
        <f>IFERROR(__xludf.DUMMYFUNCTION("IFERROR(IF(INDEX(IMPORTRANGE(""12PgU-zwv8gBrFfxvJpoPIPcxUHWup-vsxMH3HWUigZ8"",""💰 Donations!A4:N200""),36,7)="""","""",TEXT(INDEX(IMPORTRANGE(""12PgU-zwv8gBrFfxvJpoPIPcxUHWup-vsxMH3HWUigZ8"",""💰 Donations!A4:N200""),36,7),""DD-MM-YYYY"")),"""")"),"06-06-2026")</f>
        <v>06-06-2026</v>
      </c>
      <c r="J122" s="86" t="str">
        <f>IFERROR(__xludf.DUMMYFUNCTION("IFERROR(INDEX(IMPORTRANGE(""12PgU-zwv8gBrFfxvJpoPIPcxUHWup-vsxMH3HWUigZ8"",""💰 Donations!A4:N200""),36,8),"""")"),"Sunil Kumar")</f>
        <v>Sunil Kumar</v>
      </c>
      <c r="K122" s="93" t="str">
        <f>IFERROR(__xludf.DUMMYFUNCTION("IFERROR(INDEX(IMPORTRANGE(""12PgU-zwv8gBrFfxvJpoPIPcxUHWup-vsxMH3HWUigZ8"",""💰 Donations!A4:N200""),36,11),"""")"),"")</f>
        <v/>
      </c>
      <c r="L122" s="54" t="str">
        <f>IFERROR(__xludf.DUMMYFUNCTION("IFERROR(INDEX(IMPORTRANGE(""12PgU-zwv8gBrFfxvJpoPIPcxUHWup-vsxMH3HWUigZ8"",""💰 Donations!A4:N200""),36,13),"""")"),"Aadi Festival")</f>
        <v>Aadi Festival</v>
      </c>
      <c r="M122" s="86" t="str">
        <f>IFERROR(__xludf.DUMMYFUNCTION("IFERROR(INDEX(IMPORTRANGE(""12PgU-zwv8gBrFfxvJpoPIPcxUHWup-vsxMH3HWUigZ8"",""💰 Donations!A4:N200""),36,14),"""")"),"")</f>
        <v/>
      </c>
      <c r="N122" s="85" t="str">
        <f>IFERROR(__xludf.DUMMYFUNCTION("IFERROR(IF(INDEX(IMPORTRANGE(""12PgU-zwv8gBrFfxvJpoPIPcxUHWup-vsxMH3HWUigZ8"",""💰 Donations!A4:N200""),36,10)="""","""",TEXT(INDEX(IMPORTRANGE(""12PgU-zwv8gBrFfxvJpoPIPcxUHWup-vsxMH3HWUigZ8"",""💰 Donations!A4:N200""),36,10),""DD-MM-YYYY"")),"""")"),"")</f>
        <v/>
      </c>
    </row>
    <row r="123" ht="18.0" customHeight="1">
      <c r="A123" s="19" t="str">
        <f>IFERROR(__xludf.DUMMYFUNCTION("IFERROR(INDEX(IMPORTRANGE(""12PgU-zwv8gBrFfxvJpoPIPcxUHWup-vsxMH3HWUigZ8"",""💰 Donations!A4:N200""),37,1),"""")"),"2026/D/38")</f>
        <v>2026/D/38</v>
      </c>
      <c r="B123" s="88" t="str">
        <f>IFERROR(__xludf.DUMMYFUNCTION("IFERROR(INDEX(IMPORTRANGE(""12PgU-zwv8gBrFfxvJpoPIPcxUHWup-vsxMH3HWUigZ8"",""💰 Donations!A4:N200""),37,2),"""")"),"G Shanmugam")</f>
        <v>G Shanmugam</v>
      </c>
      <c r="C123" s="3"/>
      <c r="D123" s="20">
        <f>IFERROR(__xludf.DUMMYFUNCTION("IFERROR(IFERROR(INDEX(IMPORTRANGE(""12PgU-zwv8gBrFfxvJpoPIPcxUHWup-vsxMH3HWUigZ8"",""💰 Donations!A4:N200""),37,3)*1,0),0)"),3000.0)</f>
        <v>3000</v>
      </c>
      <c r="E123" s="39">
        <f>IFERROR(__xludf.DUMMYFUNCTION("IFERROR(IFERROR(INDEX(IMPORTRANGE(""12PgU-zwv8gBrFfxvJpoPIPcxUHWup-vsxMH3HWUigZ8"",""💰 Donations!A4:N200""),37,4)*1,0),0)"),3000.0)</f>
        <v>3000</v>
      </c>
      <c r="F123" s="21">
        <f t="shared" si="5"/>
        <v>0</v>
      </c>
      <c r="G123" s="89" t="str">
        <f t="shared" si="6"/>
        <v>Received</v>
      </c>
      <c r="H123" s="50" t="str">
        <f>IFERROR(__xludf.DUMMYFUNCTION("IFERROR(INDEX(IMPORTRANGE(""12PgU-zwv8gBrFfxvJpoPIPcxUHWup-vsxMH3HWUigZ8"",""💰 Donations!A4:N200""),37,6),"""")"),"Cash")</f>
        <v>Cash</v>
      </c>
      <c r="I123" s="82" t="str">
        <f>IFERROR(__xludf.DUMMYFUNCTION("IFERROR(IF(INDEX(IMPORTRANGE(""12PgU-zwv8gBrFfxvJpoPIPcxUHWup-vsxMH3HWUigZ8"",""💰 Donations!A4:N200""),37,7)="""","""",TEXT(INDEX(IMPORTRANGE(""12PgU-zwv8gBrFfxvJpoPIPcxUHWup-vsxMH3HWUigZ8"",""💰 Donations!A4:N200""),37,7),""DD-MM-YYYY"")),"""")"),"06-06-2026")</f>
        <v>06-06-2026</v>
      </c>
      <c r="J123" s="83" t="str">
        <f>IFERROR(__xludf.DUMMYFUNCTION("IFERROR(INDEX(IMPORTRANGE(""12PgU-zwv8gBrFfxvJpoPIPcxUHWup-vsxMH3HWUigZ8"",""💰 Donations!A4:N200""),37,8),"""")"),"Suresh Velu")</f>
        <v>Suresh Velu</v>
      </c>
      <c r="K123" s="90" t="str">
        <f>IFERROR(__xludf.DUMMYFUNCTION("IFERROR(INDEX(IMPORTRANGE(""12PgU-zwv8gBrFfxvJpoPIPcxUHWup-vsxMH3HWUigZ8"",""💰 Donations!A4:N200""),37,11),"""")"),"")</f>
        <v/>
      </c>
      <c r="L123" s="50" t="str">
        <f>IFERROR(__xludf.DUMMYFUNCTION("IFERROR(INDEX(IMPORTRANGE(""12PgU-zwv8gBrFfxvJpoPIPcxUHWup-vsxMH3HWUigZ8"",""💰 Donations!A4:N200""),37,13),"""")"),"Aadi Festival")</f>
        <v>Aadi Festival</v>
      </c>
      <c r="M123" s="83" t="str">
        <f>IFERROR(__xludf.DUMMYFUNCTION("IFERROR(INDEX(IMPORTRANGE(""12PgU-zwv8gBrFfxvJpoPIPcxUHWup-vsxMH3HWUigZ8"",""💰 Donations!A4:N200""),37,14),"""")"),"")</f>
        <v/>
      </c>
      <c r="N123" s="82" t="str">
        <f>IFERROR(__xludf.DUMMYFUNCTION("IFERROR(IF(INDEX(IMPORTRANGE(""12PgU-zwv8gBrFfxvJpoPIPcxUHWup-vsxMH3HWUigZ8"",""💰 Donations!A4:N200""),37,10)="""","""",TEXT(INDEX(IMPORTRANGE(""12PgU-zwv8gBrFfxvJpoPIPcxUHWup-vsxMH3HWUigZ8"",""💰 Donations!A4:N200""),37,10),""DD-MM-YYYY"")),"""")"),"")</f>
        <v/>
      </c>
    </row>
    <row r="124" ht="18.0" customHeight="1">
      <c r="A124" s="22" t="str">
        <f>IFERROR(__xludf.DUMMYFUNCTION("IFERROR(INDEX(IMPORTRANGE(""12PgU-zwv8gBrFfxvJpoPIPcxUHWup-vsxMH3HWUigZ8"",""💰 Donations!A4:N200""),38,1),"""")"),"2026/D/39")</f>
        <v>2026/D/39</v>
      </c>
      <c r="B124" s="91" t="str">
        <f>IFERROR(__xludf.DUMMYFUNCTION("IFERROR(INDEX(IMPORTRANGE(""12PgU-zwv8gBrFfxvJpoPIPcxUHWup-vsxMH3HWUigZ8"",""💰 Donations!A4:N200""),38,2),"""")"),"Shekar &amp; Vasudevan")</f>
        <v>Shekar &amp; Vasudevan</v>
      </c>
      <c r="C124" s="3"/>
      <c r="D124" s="23">
        <f>IFERROR(__xludf.DUMMYFUNCTION("IFERROR(IFERROR(INDEX(IMPORTRANGE(""12PgU-zwv8gBrFfxvJpoPIPcxUHWup-vsxMH3HWUigZ8"",""💰 Donations!A4:N200""),38,3)*1,0),0)"),8900.0)</f>
        <v>8900</v>
      </c>
      <c r="E124" s="40">
        <f>IFERROR(__xludf.DUMMYFUNCTION("IFERROR(IFERROR(INDEX(IMPORTRANGE(""12PgU-zwv8gBrFfxvJpoPIPcxUHWup-vsxMH3HWUigZ8"",""💰 Donations!A4:N200""),38,4)*1,0),0)"),8900.0)</f>
        <v>8900</v>
      </c>
      <c r="F124" s="24">
        <f t="shared" si="5"/>
        <v>0</v>
      </c>
      <c r="G124" s="92" t="str">
        <f t="shared" si="6"/>
        <v>Received</v>
      </c>
      <c r="H124" s="54" t="str">
        <f>IFERROR(__xludf.DUMMYFUNCTION("IFERROR(INDEX(IMPORTRANGE(""12PgU-zwv8gBrFfxvJpoPIPcxUHWup-vsxMH3HWUigZ8"",""💰 Donations!A4:N200""),38,6),"""")"),"Cash")</f>
        <v>Cash</v>
      </c>
      <c r="I124" s="85" t="str">
        <f>IFERROR(__xludf.DUMMYFUNCTION("IFERROR(IF(INDEX(IMPORTRANGE(""12PgU-zwv8gBrFfxvJpoPIPcxUHWup-vsxMH3HWUigZ8"",""💰 Donations!A4:N200""),38,7)="""","""",TEXT(INDEX(IMPORTRANGE(""12PgU-zwv8gBrFfxvJpoPIPcxUHWup-vsxMH3HWUigZ8"",""💰 Donations!A4:N200""),38,7),""DD-MM-YYYY"")),"""")"),"06-06-2026")</f>
        <v>06-06-2026</v>
      </c>
      <c r="J124" s="86" t="str">
        <f>IFERROR(__xludf.DUMMYFUNCTION("IFERROR(INDEX(IMPORTRANGE(""12PgU-zwv8gBrFfxvJpoPIPcxUHWup-vsxMH3HWUigZ8"",""💰 Donations!A4:N200""),38,8),"""")"),"Suresh Velu")</f>
        <v>Suresh Velu</v>
      </c>
      <c r="K124" s="93" t="str">
        <f>IFERROR(__xludf.DUMMYFUNCTION("IFERROR(INDEX(IMPORTRANGE(""12PgU-zwv8gBrFfxvJpoPIPcxUHWup-vsxMH3HWUigZ8"",""💰 Donations!A4:N200""),38,11),"""")"),"Scrap Income")</f>
        <v>Scrap Income</v>
      </c>
      <c r="L124" s="54" t="str">
        <f>IFERROR(__xludf.DUMMYFUNCTION("IFERROR(INDEX(IMPORTRANGE(""12PgU-zwv8gBrFfxvJpoPIPcxUHWup-vsxMH3HWUigZ8"",""💰 Donations!A4:N200""),38,13),"""")"),"Others")</f>
        <v>Others</v>
      </c>
      <c r="M124" s="86" t="str">
        <f>IFERROR(__xludf.DUMMYFUNCTION("IFERROR(INDEX(IMPORTRANGE(""12PgU-zwv8gBrFfxvJpoPIPcxUHWup-vsxMH3HWUigZ8"",""💰 Donations!A4:N200""),38,14),"""")"),"")</f>
        <v/>
      </c>
      <c r="N124" s="85" t="str">
        <f>IFERROR(__xludf.DUMMYFUNCTION("IFERROR(IF(INDEX(IMPORTRANGE(""12PgU-zwv8gBrFfxvJpoPIPcxUHWup-vsxMH3HWUigZ8"",""💰 Donations!A4:N200""),38,10)="""","""",TEXT(INDEX(IMPORTRANGE(""12PgU-zwv8gBrFfxvJpoPIPcxUHWup-vsxMH3HWUigZ8"",""💰 Donations!A4:N200""),38,10),""DD-MM-YYYY"")),"""")"),"")</f>
        <v/>
      </c>
    </row>
    <row r="125" ht="18.0" customHeight="1">
      <c r="A125" s="19" t="str">
        <f>IFERROR(__xludf.DUMMYFUNCTION("IFERROR(INDEX(IMPORTRANGE(""12PgU-zwv8gBrFfxvJpoPIPcxUHWup-vsxMH3HWUigZ8"",""💰 Donations!A4:N200""),39,1),"""")"),"2026/D/40")</f>
        <v>2026/D/40</v>
      </c>
      <c r="B125" s="88" t="str">
        <f>IFERROR(__xludf.DUMMYFUNCTION("IFERROR(INDEX(IMPORTRANGE(""12PgU-zwv8gBrFfxvJpoPIPcxUHWup-vsxMH3HWUigZ8"",""💰 Donations!A4:N200""),39,2),"""")"),"Ravi M")</f>
        <v>Ravi M</v>
      </c>
      <c r="C125" s="3"/>
      <c r="D125" s="20">
        <f>IFERROR(__xludf.DUMMYFUNCTION("IFERROR(IFERROR(INDEX(IMPORTRANGE(""12PgU-zwv8gBrFfxvJpoPIPcxUHWup-vsxMH3HWUigZ8"",""💰 Donations!A4:N200""),39,3)*1,0),0)"),2000.0)</f>
        <v>2000</v>
      </c>
      <c r="E125" s="39">
        <f>IFERROR(__xludf.DUMMYFUNCTION("IFERROR(IFERROR(INDEX(IMPORTRANGE(""12PgU-zwv8gBrFfxvJpoPIPcxUHWup-vsxMH3HWUigZ8"",""💰 Donations!A4:N200""),39,4)*1,0),0)"),2000.0)</f>
        <v>2000</v>
      </c>
      <c r="F125" s="21">
        <f t="shared" si="5"/>
        <v>0</v>
      </c>
      <c r="G125" s="89" t="str">
        <f t="shared" si="6"/>
        <v>Received</v>
      </c>
      <c r="H125" s="50" t="str">
        <f>IFERROR(__xludf.DUMMYFUNCTION("IFERROR(INDEX(IMPORTRANGE(""12PgU-zwv8gBrFfxvJpoPIPcxUHWup-vsxMH3HWUigZ8"",""💰 Donations!A4:N200""),39,6),"""")"),"Cash")</f>
        <v>Cash</v>
      </c>
      <c r="I125" s="82" t="str">
        <f>IFERROR(__xludf.DUMMYFUNCTION("IFERROR(IF(INDEX(IMPORTRANGE(""12PgU-zwv8gBrFfxvJpoPIPcxUHWup-vsxMH3HWUigZ8"",""💰 Donations!A4:N200""),39,7)="""","""",TEXT(INDEX(IMPORTRANGE(""12PgU-zwv8gBrFfxvJpoPIPcxUHWup-vsxMH3HWUigZ8"",""💰 Donations!A4:N200""),39,7),""DD-MM-YYYY"")),"""")"),"06-06-2026")</f>
        <v>06-06-2026</v>
      </c>
      <c r="J125" s="83" t="str">
        <f>IFERROR(__xludf.DUMMYFUNCTION("IFERROR(INDEX(IMPORTRANGE(""12PgU-zwv8gBrFfxvJpoPIPcxUHWup-vsxMH3HWUigZ8"",""💰 Donations!A4:N200""),39,8),"""")"),"Suresh Velu")</f>
        <v>Suresh Velu</v>
      </c>
      <c r="K125" s="90" t="str">
        <f>IFERROR(__xludf.DUMMYFUNCTION("IFERROR(INDEX(IMPORTRANGE(""12PgU-zwv8gBrFfxvJpoPIPcxUHWup-vsxMH3HWUigZ8"",""💰 Donations!A4:N200""),39,11),"""")"),"")</f>
        <v/>
      </c>
      <c r="L125" s="50" t="str">
        <f>IFERROR(__xludf.DUMMYFUNCTION("IFERROR(INDEX(IMPORTRANGE(""12PgU-zwv8gBrFfxvJpoPIPcxUHWup-vsxMH3HWUigZ8"",""💰 Donations!A4:N200""),39,13),"""")"),"Aadi Festival")</f>
        <v>Aadi Festival</v>
      </c>
      <c r="M125" s="83" t="str">
        <f>IFERROR(__xludf.DUMMYFUNCTION("IFERROR(INDEX(IMPORTRANGE(""12PgU-zwv8gBrFfxvJpoPIPcxUHWup-vsxMH3HWUigZ8"",""💰 Donations!A4:N200""),39,14),"""")"),"")</f>
        <v/>
      </c>
      <c r="N125" s="82" t="str">
        <f>IFERROR(__xludf.DUMMYFUNCTION("IFERROR(IF(INDEX(IMPORTRANGE(""12PgU-zwv8gBrFfxvJpoPIPcxUHWup-vsxMH3HWUigZ8"",""💰 Donations!A4:N200""),39,10)="""","""",TEXT(INDEX(IMPORTRANGE(""12PgU-zwv8gBrFfxvJpoPIPcxUHWup-vsxMH3HWUigZ8"",""💰 Donations!A4:N200""),39,10),""DD-MM-YYYY"")),"""")"),"")</f>
        <v/>
      </c>
    </row>
    <row r="126" ht="18.0" customHeight="1">
      <c r="A126" s="22" t="str">
        <f>IFERROR(__xludf.DUMMYFUNCTION("IFERROR(INDEX(IMPORTRANGE(""12PgU-zwv8gBrFfxvJpoPIPcxUHWup-vsxMH3HWUigZ8"",""💰 Donations!A4:N200""),40,1),"""")"),"2026/D/41")</f>
        <v>2026/D/41</v>
      </c>
      <c r="B126" s="91" t="str">
        <f>IFERROR(__xludf.DUMMYFUNCTION("IFERROR(INDEX(IMPORTRANGE(""12PgU-zwv8gBrFfxvJpoPIPcxUHWup-vsxMH3HWUigZ8"",""💰 Donations!A4:N200""),40,2),"""")"),"Gowtham")</f>
        <v>Gowtham</v>
      </c>
      <c r="C126" s="3"/>
      <c r="D126" s="23">
        <f>IFERROR(__xludf.DUMMYFUNCTION("IFERROR(IFERROR(INDEX(IMPORTRANGE(""12PgU-zwv8gBrFfxvJpoPIPcxUHWup-vsxMH3HWUigZ8"",""💰 Donations!A4:N200""),40,3)*1,0),0)"),500.0)</f>
        <v>500</v>
      </c>
      <c r="E126" s="40">
        <f>IFERROR(__xludf.DUMMYFUNCTION("IFERROR(IFERROR(INDEX(IMPORTRANGE(""12PgU-zwv8gBrFfxvJpoPIPcxUHWup-vsxMH3HWUigZ8"",""💰 Donations!A4:N200""),40,4)*1,0),0)"),500.0)</f>
        <v>500</v>
      </c>
      <c r="F126" s="24">
        <f t="shared" si="5"/>
        <v>0</v>
      </c>
      <c r="G126" s="92" t="str">
        <f t="shared" si="6"/>
        <v>Received</v>
      </c>
      <c r="H126" s="54" t="str">
        <f>IFERROR(__xludf.DUMMYFUNCTION("IFERROR(INDEX(IMPORTRANGE(""12PgU-zwv8gBrFfxvJpoPIPcxUHWup-vsxMH3HWUigZ8"",""💰 Donations!A4:N200""),40,6),"""")"),"Cash")</f>
        <v>Cash</v>
      </c>
      <c r="I126" s="85" t="str">
        <f>IFERROR(__xludf.DUMMYFUNCTION("IFERROR(IF(INDEX(IMPORTRANGE(""12PgU-zwv8gBrFfxvJpoPIPcxUHWup-vsxMH3HWUigZ8"",""💰 Donations!A4:N200""),40,7)="""","""",TEXT(INDEX(IMPORTRANGE(""12PgU-zwv8gBrFfxvJpoPIPcxUHWup-vsxMH3HWUigZ8"",""💰 Donations!A4:N200""),40,7),""DD-MM-YYYY"")),"""")"),"06-06-2026")</f>
        <v>06-06-2026</v>
      </c>
      <c r="J126" s="86" t="str">
        <f>IFERROR(__xludf.DUMMYFUNCTION("IFERROR(INDEX(IMPORTRANGE(""12PgU-zwv8gBrFfxvJpoPIPcxUHWup-vsxMH3HWUigZ8"",""💰 Donations!A4:N200""),40,8),"""")"),"Suresh Velu")</f>
        <v>Suresh Velu</v>
      </c>
      <c r="K126" s="93" t="str">
        <f>IFERROR(__xludf.DUMMYFUNCTION("IFERROR(INDEX(IMPORTRANGE(""12PgU-zwv8gBrFfxvJpoPIPcxUHWup-vsxMH3HWUigZ8"",""💰 Donations!A4:N200""),40,11),"""")"),"")</f>
        <v/>
      </c>
      <c r="L126" s="54" t="str">
        <f>IFERROR(__xludf.DUMMYFUNCTION("IFERROR(INDEX(IMPORTRANGE(""12PgU-zwv8gBrFfxvJpoPIPcxUHWup-vsxMH3HWUigZ8"",""💰 Donations!A4:N200""),40,13),"""")"),"Aadi Festival")</f>
        <v>Aadi Festival</v>
      </c>
      <c r="M126" s="86" t="str">
        <f>IFERROR(__xludf.DUMMYFUNCTION("IFERROR(INDEX(IMPORTRANGE(""12PgU-zwv8gBrFfxvJpoPIPcxUHWup-vsxMH3HWUigZ8"",""💰 Donations!A4:N200""),40,14),"""")"),"")</f>
        <v/>
      </c>
      <c r="N126" s="85" t="str">
        <f>IFERROR(__xludf.DUMMYFUNCTION("IFERROR(IF(INDEX(IMPORTRANGE(""12PgU-zwv8gBrFfxvJpoPIPcxUHWup-vsxMH3HWUigZ8"",""💰 Donations!A4:N200""),40,10)="""","""",TEXT(INDEX(IMPORTRANGE(""12PgU-zwv8gBrFfxvJpoPIPcxUHWup-vsxMH3HWUigZ8"",""💰 Donations!A4:N200""),40,10),""DD-MM-YYYY"")),"""")"),"")</f>
        <v/>
      </c>
    </row>
    <row r="127" ht="18.0" customHeight="1">
      <c r="A127" s="19" t="str">
        <f>IFERROR(__xludf.DUMMYFUNCTION("IFERROR(INDEX(IMPORTRANGE(""12PgU-zwv8gBrFfxvJpoPIPcxUHWup-vsxMH3HWUigZ8"",""💰 Donations!A4:N200""),41,1),"""")"),"2026/D/42")</f>
        <v>2026/D/42</v>
      </c>
      <c r="B127" s="88" t="str">
        <f>IFERROR(__xludf.DUMMYFUNCTION("IFERROR(INDEX(IMPORTRANGE(""12PgU-zwv8gBrFfxvJpoPIPcxUHWup-vsxMH3HWUigZ8"",""💰 Donations!A4:N200""),41,2),"""")"),"Rakshitha")</f>
        <v>Rakshitha</v>
      </c>
      <c r="C127" s="3"/>
      <c r="D127" s="20">
        <f>IFERROR(__xludf.DUMMYFUNCTION("IFERROR(IFERROR(INDEX(IMPORTRANGE(""12PgU-zwv8gBrFfxvJpoPIPcxUHWup-vsxMH3HWUigZ8"",""💰 Donations!A4:N200""),41,3)*1,0),0)"),2000.0)</f>
        <v>2000</v>
      </c>
      <c r="E127" s="39">
        <f>IFERROR(__xludf.DUMMYFUNCTION("IFERROR(IFERROR(INDEX(IMPORTRANGE(""12PgU-zwv8gBrFfxvJpoPIPcxUHWup-vsxMH3HWUigZ8"",""💰 Donations!A4:N200""),41,4)*1,0),0)"),2000.0)</f>
        <v>2000</v>
      </c>
      <c r="F127" s="21">
        <f t="shared" si="5"/>
        <v>0</v>
      </c>
      <c r="G127" s="89" t="str">
        <f t="shared" si="6"/>
        <v>Received</v>
      </c>
      <c r="H127" s="50" t="str">
        <f>IFERROR(__xludf.DUMMYFUNCTION("IFERROR(INDEX(IMPORTRANGE(""12PgU-zwv8gBrFfxvJpoPIPcxUHWup-vsxMH3HWUigZ8"",""💰 Donations!A4:N200""),41,6),"""")"),"UPI")</f>
        <v>UPI</v>
      </c>
      <c r="I127" s="82" t="str">
        <f>IFERROR(__xludf.DUMMYFUNCTION("IFERROR(IF(INDEX(IMPORTRANGE(""12PgU-zwv8gBrFfxvJpoPIPcxUHWup-vsxMH3HWUigZ8"",""💰 Donations!A4:N200""),41,7)="""","""",TEXT(INDEX(IMPORTRANGE(""12PgU-zwv8gBrFfxvJpoPIPcxUHWup-vsxMH3HWUigZ8"",""💰 Donations!A4:N200""),41,7),""DD-MM-YYYY"")),"""")"),"06-06-2026")</f>
        <v>06-06-2026</v>
      </c>
      <c r="J127" s="83" t="str">
        <f>IFERROR(__xludf.DUMMYFUNCTION("IFERROR(INDEX(IMPORTRANGE(""12PgU-zwv8gBrFfxvJpoPIPcxUHWup-vsxMH3HWUigZ8"",""💰 Donations!A4:N200""),41,8),"""")"),"Suresh Velu")</f>
        <v>Suresh Velu</v>
      </c>
      <c r="K127" s="90" t="str">
        <f>IFERROR(__xludf.DUMMYFUNCTION("IFERROR(INDEX(IMPORTRANGE(""12PgU-zwv8gBrFfxvJpoPIPcxUHWup-vsxMH3HWUigZ8"",""💰 Donations!A4:N200""),41,11),"""")"),"")</f>
        <v/>
      </c>
      <c r="L127" s="50" t="str">
        <f>IFERROR(__xludf.DUMMYFUNCTION("IFERROR(INDEX(IMPORTRANGE(""12PgU-zwv8gBrFfxvJpoPIPcxUHWup-vsxMH3HWUigZ8"",""💰 Donations!A4:N200""),41,13),"""")"),"Aadi Festival")</f>
        <v>Aadi Festival</v>
      </c>
      <c r="M127" s="83" t="str">
        <f>IFERROR(__xludf.DUMMYFUNCTION("IFERROR(INDEX(IMPORTRANGE(""12PgU-zwv8gBrFfxvJpoPIPcxUHWup-vsxMH3HWUigZ8"",""💰 Donations!A4:N200""),41,14),"""")"),"")</f>
        <v/>
      </c>
      <c r="N127" s="82" t="str">
        <f>IFERROR(__xludf.DUMMYFUNCTION("IFERROR(IF(INDEX(IMPORTRANGE(""12PgU-zwv8gBrFfxvJpoPIPcxUHWup-vsxMH3HWUigZ8"",""💰 Donations!A4:N200""),41,10)="""","""",TEXT(INDEX(IMPORTRANGE(""12PgU-zwv8gBrFfxvJpoPIPcxUHWup-vsxMH3HWUigZ8"",""💰 Donations!A4:N200""),41,10),""DD-MM-YYYY"")),"""")"),"")</f>
        <v/>
      </c>
    </row>
    <row r="128" ht="18.0" customHeight="1">
      <c r="A128" s="22" t="str">
        <f>IFERROR(__xludf.DUMMYFUNCTION("IFERROR(INDEX(IMPORTRANGE(""12PgU-zwv8gBrFfxvJpoPIPcxUHWup-vsxMH3HWUigZ8"",""💰 Donations!A4:N200""),42,1),"""")"),"2026/D/43")</f>
        <v>2026/D/43</v>
      </c>
      <c r="B128" s="91" t="str">
        <f>IFERROR(__xludf.DUMMYFUNCTION("IFERROR(INDEX(IMPORTRANGE(""12PgU-zwv8gBrFfxvJpoPIPcxUHWup-vsxMH3HWUigZ8"",""💰 Donations!A4:N200""),42,2),"""")"),"D Raja")</f>
        <v>D Raja</v>
      </c>
      <c r="C128" s="3"/>
      <c r="D128" s="23">
        <f>IFERROR(__xludf.DUMMYFUNCTION("IFERROR(IFERROR(INDEX(IMPORTRANGE(""12PgU-zwv8gBrFfxvJpoPIPcxUHWup-vsxMH3HWUigZ8"",""💰 Donations!A4:N200""),42,3)*1,0),0)"),1000.0)</f>
        <v>1000</v>
      </c>
      <c r="E128" s="40">
        <f>IFERROR(__xludf.DUMMYFUNCTION("IFERROR(IFERROR(INDEX(IMPORTRANGE(""12PgU-zwv8gBrFfxvJpoPIPcxUHWup-vsxMH3HWUigZ8"",""💰 Donations!A4:N200""),42,4)*1,0),0)"),1000.0)</f>
        <v>1000</v>
      </c>
      <c r="F128" s="24">
        <f t="shared" si="5"/>
        <v>0</v>
      </c>
      <c r="G128" s="92" t="str">
        <f t="shared" si="6"/>
        <v>Received</v>
      </c>
      <c r="H128" s="54" t="str">
        <f>IFERROR(__xludf.DUMMYFUNCTION("IFERROR(INDEX(IMPORTRANGE(""12PgU-zwv8gBrFfxvJpoPIPcxUHWup-vsxMH3HWUigZ8"",""💰 Donations!A4:N200""),42,6),"""")"),"Cash")</f>
        <v>Cash</v>
      </c>
      <c r="I128" s="85" t="str">
        <f>IFERROR(__xludf.DUMMYFUNCTION("IFERROR(IF(INDEX(IMPORTRANGE(""12PgU-zwv8gBrFfxvJpoPIPcxUHWup-vsxMH3HWUigZ8"",""💰 Donations!A4:N200""),42,7)="""","""",TEXT(INDEX(IMPORTRANGE(""12PgU-zwv8gBrFfxvJpoPIPcxUHWup-vsxMH3HWUigZ8"",""💰 Donations!A4:N200""),42,7),""DD-MM-YYYY"")),"""")"),"06-06-2026")</f>
        <v>06-06-2026</v>
      </c>
      <c r="J128" s="86" t="str">
        <f>IFERROR(__xludf.DUMMYFUNCTION("IFERROR(INDEX(IMPORTRANGE(""12PgU-zwv8gBrFfxvJpoPIPcxUHWup-vsxMH3HWUigZ8"",""💰 Donations!A4:N200""),42,8),"""")"),"Suresh Velu")</f>
        <v>Suresh Velu</v>
      </c>
      <c r="K128" s="93" t="str">
        <f>IFERROR(__xludf.DUMMYFUNCTION("IFERROR(INDEX(IMPORTRANGE(""12PgU-zwv8gBrFfxvJpoPIPcxUHWup-vsxMH3HWUigZ8"",""💰 Donations!A4:N200""),42,11),"""")"),"")</f>
        <v/>
      </c>
      <c r="L128" s="54" t="str">
        <f>IFERROR(__xludf.DUMMYFUNCTION("IFERROR(INDEX(IMPORTRANGE(""12PgU-zwv8gBrFfxvJpoPIPcxUHWup-vsxMH3HWUigZ8"",""💰 Donations!A4:N200""),42,13),"""")"),"Aadi Festival")</f>
        <v>Aadi Festival</v>
      </c>
      <c r="M128" s="86" t="str">
        <f>IFERROR(__xludf.DUMMYFUNCTION("IFERROR(INDEX(IMPORTRANGE(""12PgU-zwv8gBrFfxvJpoPIPcxUHWup-vsxMH3HWUigZ8"",""💰 Donations!A4:N200""),42,14),"""")"),"")</f>
        <v/>
      </c>
      <c r="N128" s="85" t="str">
        <f>IFERROR(__xludf.DUMMYFUNCTION("IFERROR(IF(INDEX(IMPORTRANGE(""12PgU-zwv8gBrFfxvJpoPIPcxUHWup-vsxMH3HWUigZ8"",""💰 Donations!A4:N200""),42,10)="""","""",TEXT(INDEX(IMPORTRANGE(""12PgU-zwv8gBrFfxvJpoPIPcxUHWup-vsxMH3HWUigZ8"",""💰 Donations!A4:N200""),42,10),""DD-MM-YYYY"")),"""")"),"")</f>
        <v/>
      </c>
    </row>
    <row r="129" ht="18.0" customHeight="1">
      <c r="A129" s="19" t="str">
        <f>IFERROR(__xludf.DUMMYFUNCTION("IFERROR(INDEX(IMPORTRANGE(""12PgU-zwv8gBrFfxvJpoPIPcxUHWup-vsxMH3HWUigZ8"",""💰 Donations!A4:N200""),43,1),"""")"),"2026/D/44")</f>
        <v>2026/D/44</v>
      </c>
      <c r="B129" s="88" t="str">
        <f>IFERROR(__xludf.DUMMYFUNCTION("IFERROR(INDEX(IMPORTRANGE(""12PgU-zwv8gBrFfxvJpoPIPcxUHWup-vsxMH3HWUigZ8"",""💰 Donations!A4:N200""),43,2),"""")"),"D Nagaraj")</f>
        <v>D Nagaraj</v>
      </c>
      <c r="C129" s="3"/>
      <c r="D129" s="20">
        <f>IFERROR(__xludf.DUMMYFUNCTION("IFERROR(IFERROR(INDEX(IMPORTRANGE(""12PgU-zwv8gBrFfxvJpoPIPcxUHWup-vsxMH3HWUigZ8"",""💰 Donations!A4:N200""),43,3)*1,0),0)"),2000.0)</f>
        <v>2000</v>
      </c>
      <c r="E129" s="39">
        <f>IFERROR(__xludf.DUMMYFUNCTION("IFERROR(IFERROR(INDEX(IMPORTRANGE(""12PgU-zwv8gBrFfxvJpoPIPcxUHWup-vsxMH3HWUigZ8"",""💰 Donations!A4:N200""),43,4)*1,0),0)"),2000.0)</f>
        <v>2000</v>
      </c>
      <c r="F129" s="21">
        <f t="shared" si="5"/>
        <v>0</v>
      </c>
      <c r="G129" s="89" t="str">
        <f t="shared" si="6"/>
        <v>Received</v>
      </c>
      <c r="H129" s="50" t="str">
        <f>IFERROR(__xludf.DUMMYFUNCTION("IFERROR(INDEX(IMPORTRANGE(""12PgU-zwv8gBrFfxvJpoPIPcxUHWup-vsxMH3HWUigZ8"",""💰 Donations!A4:N200""),43,6),"""")"),"UPI")</f>
        <v>UPI</v>
      </c>
      <c r="I129" s="82" t="str">
        <f>IFERROR(__xludf.DUMMYFUNCTION("IFERROR(IF(INDEX(IMPORTRANGE(""12PgU-zwv8gBrFfxvJpoPIPcxUHWup-vsxMH3HWUigZ8"",""💰 Donations!A4:N200""),43,7)="""","""",TEXT(INDEX(IMPORTRANGE(""12PgU-zwv8gBrFfxvJpoPIPcxUHWup-vsxMH3HWUigZ8"",""💰 Donations!A4:N200""),43,7),""DD-MM-YYYY"")),"""")"),"06-06-2026")</f>
        <v>06-06-2026</v>
      </c>
      <c r="J129" s="83" t="str">
        <f>IFERROR(__xludf.DUMMYFUNCTION("IFERROR(INDEX(IMPORTRANGE(""12PgU-zwv8gBrFfxvJpoPIPcxUHWup-vsxMH3HWUigZ8"",""💰 Donations!A4:N200""),43,8),"""")"),"Sunil Kumar")</f>
        <v>Sunil Kumar</v>
      </c>
      <c r="K129" s="90" t="str">
        <f>IFERROR(__xludf.DUMMYFUNCTION("IFERROR(INDEX(IMPORTRANGE(""12PgU-zwv8gBrFfxvJpoPIPcxUHWup-vsxMH3HWUigZ8"",""💰 Donations!A4:N200""),43,11),"""")"),"")</f>
        <v/>
      </c>
      <c r="L129" s="50" t="str">
        <f>IFERROR(__xludf.DUMMYFUNCTION("IFERROR(INDEX(IMPORTRANGE(""12PgU-zwv8gBrFfxvJpoPIPcxUHWup-vsxMH3HWUigZ8"",""💰 Donations!A4:N200""),43,13),"""")"),"Aadi Festival")</f>
        <v>Aadi Festival</v>
      </c>
      <c r="M129" s="83" t="str">
        <f>IFERROR(__xludf.DUMMYFUNCTION("IFERROR(INDEX(IMPORTRANGE(""12PgU-zwv8gBrFfxvJpoPIPcxUHWup-vsxMH3HWUigZ8"",""💰 Donations!A4:N200""),43,14),"""")"),"")</f>
        <v/>
      </c>
      <c r="N129" s="82" t="str">
        <f>IFERROR(__xludf.DUMMYFUNCTION("IFERROR(IF(INDEX(IMPORTRANGE(""12PgU-zwv8gBrFfxvJpoPIPcxUHWup-vsxMH3HWUigZ8"",""💰 Donations!A4:N200""),43,10)="""","""",TEXT(INDEX(IMPORTRANGE(""12PgU-zwv8gBrFfxvJpoPIPcxUHWup-vsxMH3HWUigZ8"",""💰 Donations!A4:N200""),43,10),""DD-MM-YYYY"")),"""")"),"")</f>
        <v/>
      </c>
    </row>
    <row r="130" ht="18.0" customHeight="1">
      <c r="A130" s="22" t="str">
        <f>IFERROR(__xludf.DUMMYFUNCTION("IFERROR(INDEX(IMPORTRANGE(""12PgU-zwv8gBrFfxvJpoPIPcxUHWup-vsxMH3HWUigZ8"",""💰 Donations!A4:N200""),44,1),"""")"),"2026/D/45")</f>
        <v>2026/D/45</v>
      </c>
      <c r="B130" s="91" t="str">
        <f>IFERROR(__xludf.DUMMYFUNCTION("IFERROR(INDEX(IMPORTRANGE(""12PgU-zwv8gBrFfxvJpoPIPcxUHWup-vsxMH3HWUigZ8"",""💰 Donations!A4:N200""),44,2),"""")"),"Sunil Kumar D")</f>
        <v>Sunil Kumar D</v>
      </c>
      <c r="C130" s="3"/>
      <c r="D130" s="23">
        <f>IFERROR(__xludf.DUMMYFUNCTION("IFERROR(IFERROR(INDEX(IMPORTRANGE(""12PgU-zwv8gBrFfxvJpoPIPcxUHWup-vsxMH3HWUigZ8"",""💰 Donations!A4:N200""),44,3)*1,0),0)"),4500.0)</f>
        <v>4500</v>
      </c>
      <c r="E130" s="40">
        <f>IFERROR(__xludf.DUMMYFUNCTION("IFERROR(IFERROR(INDEX(IMPORTRANGE(""12PgU-zwv8gBrFfxvJpoPIPcxUHWup-vsxMH3HWUigZ8"",""💰 Donations!A4:N200""),44,4)*1,0),0)"),4500.0)</f>
        <v>4500</v>
      </c>
      <c r="F130" s="24">
        <f t="shared" si="5"/>
        <v>0</v>
      </c>
      <c r="G130" s="92" t="str">
        <f t="shared" si="6"/>
        <v>Received</v>
      </c>
      <c r="H130" s="54" t="str">
        <f>IFERROR(__xludf.DUMMYFUNCTION("IFERROR(INDEX(IMPORTRANGE(""12PgU-zwv8gBrFfxvJpoPIPcxUHWup-vsxMH3HWUigZ8"",""💰 Donations!A4:N200""),44,6),"""")"),"Cash")</f>
        <v>Cash</v>
      </c>
      <c r="I130" s="85" t="str">
        <f>IFERROR(__xludf.DUMMYFUNCTION("IFERROR(IF(INDEX(IMPORTRANGE(""12PgU-zwv8gBrFfxvJpoPIPcxUHWup-vsxMH3HWUigZ8"",""💰 Donations!A4:N200""),44,7)="""","""",TEXT(INDEX(IMPORTRANGE(""12PgU-zwv8gBrFfxvJpoPIPcxUHWup-vsxMH3HWUigZ8"",""💰 Donations!A4:N200""),44,7),""DD-MM-YYYY"")),"""")"),"06-06-2026")</f>
        <v>06-06-2026</v>
      </c>
      <c r="J130" s="86" t="str">
        <f>IFERROR(__xludf.DUMMYFUNCTION("IFERROR(INDEX(IMPORTRANGE(""12PgU-zwv8gBrFfxvJpoPIPcxUHWup-vsxMH3HWUigZ8"",""💰 Donations!A4:N200""),44,8),"""")"),"Sunil Kumar")</f>
        <v>Sunil Kumar</v>
      </c>
      <c r="K130" s="93" t="str">
        <f>IFERROR(__xludf.DUMMYFUNCTION("IFERROR(INDEX(IMPORTRANGE(""12PgU-zwv8gBrFfxvJpoPIPcxUHWup-vsxMH3HWUigZ8"",""💰 Donations!A4:N200""),44,11),"""")"),"From Scrap Income")</f>
        <v>From Scrap Income</v>
      </c>
      <c r="L130" s="54" t="str">
        <f>IFERROR(__xludf.DUMMYFUNCTION("IFERROR(INDEX(IMPORTRANGE(""12PgU-zwv8gBrFfxvJpoPIPcxUHWup-vsxMH3HWUigZ8"",""💰 Donations!A4:N200""),44,13),"""")"),"Others")</f>
        <v>Others</v>
      </c>
      <c r="M130" s="86" t="str">
        <f>IFERROR(__xludf.DUMMYFUNCTION("IFERROR(INDEX(IMPORTRANGE(""12PgU-zwv8gBrFfxvJpoPIPcxUHWup-vsxMH3HWUigZ8"",""💰 Donations!A4:N200""),44,14),"""")"),"")</f>
        <v/>
      </c>
      <c r="N130" s="85" t="str">
        <f>IFERROR(__xludf.DUMMYFUNCTION("IFERROR(IF(INDEX(IMPORTRANGE(""12PgU-zwv8gBrFfxvJpoPIPcxUHWup-vsxMH3HWUigZ8"",""💰 Donations!A4:N200""),44,10)="""","""",TEXT(INDEX(IMPORTRANGE(""12PgU-zwv8gBrFfxvJpoPIPcxUHWup-vsxMH3HWUigZ8"",""💰 Donations!A4:N200""),44,10),""DD-MM-YYYY"")),"""")"),"")</f>
        <v/>
      </c>
    </row>
    <row r="131" ht="18.0" customHeight="1">
      <c r="A131" s="19" t="str">
        <f>IFERROR(__xludf.DUMMYFUNCTION("IFERROR(INDEX(IMPORTRANGE(""12PgU-zwv8gBrFfxvJpoPIPcxUHWup-vsxMH3HWUigZ8"",""💰 Donations!A4:N200""),45,1),"""")"),"2026/D/46")</f>
        <v>2026/D/46</v>
      </c>
      <c r="B131" s="88" t="str">
        <f>IFERROR(__xludf.DUMMYFUNCTION("IFERROR(INDEX(IMPORTRANGE(""12PgU-zwv8gBrFfxvJpoPIPcxUHWup-vsxMH3HWUigZ8"",""💰 Donations!A4:N200""),45,2),"""")"),"Vinayashree S")</f>
        <v>Vinayashree S</v>
      </c>
      <c r="C131" s="3"/>
      <c r="D131" s="20">
        <f>IFERROR(__xludf.DUMMYFUNCTION("IFERROR(IFERROR(INDEX(IMPORTRANGE(""12PgU-zwv8gBrFfxvJpoPIPcxUHWup-vsxMH3HWUigZ8"",""💰 Donations!A4:N200""),45,3)*1,0),0)"),1000.0)</f>
        <v>1000</v>
      </c>
      <c r="E131" s="39">
        <f>IFERROR(__xludf.DUMMYFUNCTION("IFERROR(IFERROR(INDEX(IMPORTRANGE(""12PgU-zwv8gBrFfxvJpoPIPcxUHWup-vsxMH3HWUigZ8"",""💰 Donations!A4:N200""),45,4)*1,0),0)"),1000.0)</f>
        <v>1000</v>
      </c>
      <c r="F131" s="21">
        <f t="shared" si="5"/>
        <v>0</v>
      </c>
      <c r="G131" s="89" t="str">
        <f t="shared" si="6"/>
        <v>Received</v>
      </c>
      <c r="H131" s="50" t="str">
        <f>IFERROR(__xludf.DUMMYFUNCTION("IFERROR(INDEX(IMPORTRANGE(""12PgU-zwv8gBrFfxvJpoPIPcxUHWup-vsxMH3HWUigZ8"",""💰 Donations!A4:N200""),45,6),"""")"),"Cash")</f>
        <v>Cash</v>
      </c>
      <c r="I131" s="82" t="str">
        <f>IFERROR(__xludf.DUMMYFUNCTION("IFERROR(IF(INDEX(IMPORTRANGE(""12PgU-zwv8gBrFfxvJpoPIPcxUHWup-vsxMH3HWUigZ8"",""💰 Donations!A4:N200""),45,7)="""","""",TEXT(INDEX(IMPORTRANGE(""12PgU-zwv8gBrFfxvJpoPIPcxUHWup-vsxMH3HWUigZ8"",""💰 Donations!A4:N200""),45,7),""DD-MM-YYYY"")),"""")"),"06-06-2026")</f>
        <v>06-06-2026</v>
      </c>
      <c r="J131" s="83" t="str">
        <f>IFERROR(__xludf.DUMMYFUNCTION("IFERROR(INDEX(IMPORTRANGE(""12PgU-zwv8gBrFfxvJpoPIPcxUHWup-vsxMH3HWUigZ8"",""💰 Donations!A4:N200""),45,8),"""")"),"Suresh Velu")</f>
        <v>Suresh Velu</v>
      </c>
      <c r="K131" s="90" t="str">
        <f>IFERROR(__xludf.DUMMYFUNCTION("IFERROR(INDEX(IMPORTRANGE(""12PgU-zwv8gBrFfxvJpoPIPcxUHWup-vsxMH3HWUigZ8"",""💰 Donations!A4:N200""),45,11),"""")"),"")</f>
        <v/>
      </c>
      <c r="L131" s="50" t="str">
        <f>IFERROR(__xludf.DUMMYFUNCTION("IFERROR(INDEX(IMPORTRANGE(""12PgU-zwv8gBrFfxvJpoPIPcxUHWup-vsxMH3HWUigZ8"",""💰 Donations!A4:N200""),45,13),"""")"),"Aadi Festival")</f>
        <v>Aadi Festival</v>
      </c>
      <c r="M131" s="83" t="str">
        <f>IFERROR(__xludf.DUMMYFUNCTION("IFERROR(INDEX(IMPORTRANGE(""12PgU-zwv8gBrFfxvJpoPIPcxUHWup-vsxMH3HWUigZ8"",""💰 Donations!A4:N200""),45,14),"""")"),"")</f>
        <v/>
      </c>
      <c r="N131" s="82" t="str">
        <f>IFERROR(__xludf.DUMMYFUNCTION("IFERROR(IF(INDEX(IMPORTRANGE(""12PgU-zwv8gBrFfxvJpoPIPcxUHWup-vsxMH3HWUigZ8"",""💰 Donations!A4:N200""),45,10)="""","""",TEXT(INDEX(IMPORTRANGE(""12PgU-zwv8gBrFfxvJpoPIPcxUHWup-vsxMH3HWUigZ8"",""💰 Donations!A4:N200""),45,10),""DD-MM-YYYY"")),"""")"),"")</f>
        <v/>
      </c>
    </row>
    <row r="132" ht="18.0" customHeight="1">
      <c r="A132" s="22" t="str">
        <f>IFERROR(__xludf.DUMMYFUNCTION("IFERROR(INDEX(IMPORTRANGE(""12PgU-zwv8gBrFfxvJpoPIPcxUHWup-vsxMH3HWUigZ8"",""💰 Donations!A4:N200""),46,1),"""")"),"2026/D/47")</f>
        <v>2026/D/47</v>
      </c>
      <c r="B132" s="91" t="str">
        <f>IFERROR(__xludf.DUMMYFUNCTION("IFERROR(INDEX(IMPORTRANGE(""12PgU-zwv8gBrFfxvJpoPIPcxUHWup-vsxMH3HWUigZ8"",""💰 Donations!A4:N200""),46,2),"""")"),"Harinitha &amp; Rudhav")</f>
        <v>Harinitha &amp; Rudhav</v>
      </c>
      <c r="C132" s="3"/>
      <c r="D132" s="23">
        <f>IFERROR(__xludf.DUMMYFUNCTION("IFERROR(IFERROR(INDEX(IMPORTRANGE(""12PgU-zwv8gBrFfxvJpoPIPcxUHWup-vsxMH3HWUigZ8"",""💰 Donations!A4:N200""),46,3)*1,0),0)"),2000.0)</f>
        <v>2000</v>
      </c>
      <c r="E132" s="40">
        <f>IFERROR(__xludf.DUMMYFUNCTION("IFERROR(IFERROR(INDEX(IMPORTRANGE(""12PgU-zwv8gBrFfxvJpoPIPcxUHWup-vsxMH3HWUigZ8"",""💰 Donations!A4:N200""),46,4)*1,0),0)"),2000.0)</f>
        <v>2000</v>
      </c>
      <c r="F132" s="24">
        <f t="shared" si="5"/>
        <v>0</v>
      </c>
      <c r="G132" s="92" t="str">
        <f t="shared" si="6"/>
        <v>Received</v>
      </c>
      <c r="H132" s="54" t="str">
        <f>IFERROR(__xludf.DUMMYFUNCTION("IFERROR(INDEX(IMPORTRANGE(""12PgU-zwv8gBrFfxvJpoPIPcxUHWup-vsxMH3HWUigZ8"",""💰 Donations!A4:N200""),46,6),"""")"),"UPI")</f>
        <v>UPI</v>
      </c>
      <c r="I132" s="85" t="str">
        <f>IFERROR(__xludf.DUMMYFUNCTION("IFERROR(IF(INDEX(IMPORTRANGE(""12PgU-zwv8gBrFfxvJpoPIPcxUHWup-vsxMH3HWUigZ8"",""💰 Donations!A4:N200""),46,7)="""","""",TEXT(INDEX(IMPORTRANGE(""12PgU-zwv8gBrFfxvJpoPIPcxUHWup-vsxMH3HWUigZ8"",""💰 Donations!A4:N200""),46,7),""DD-MM-YYYY"")),"""")"),"06-07-2026")</f>
        <v>06-07-2026</v>
      </c>
      <c r="J132" s="86" t="str">
        <f>IFERROR(__xludf.DUMMYFUNCTION("IFERROR(INDEX(IMPORTRANGE(""12PgU-zwv8gBrFfxvJpoPIPcxUHWup-vsxMH3HWUigZ8"",""💰 Donations!A4:N200""),46,8),"""")"),"Sunil Kumar")</f>
        <v>Sunil Kumar</v>
      </c>
      <c r="K132" s="93" t="str">
        <f>IFERROR(__xludf.DUMMYFUNCTION("IFERROR(INDEX(IMPORTRANGE(""12PgU-zwv8gBrFfxvJpoPIPcxUHWup-vsxMH3HWUigZ8"",""💰 Donations!A4:N200""),46,11),"""")"),"")</f>
        <v/>
      </c>
      <c r="L132" s="54" t="str">
        <f>IFERROR(__xludf.DUMMYFUNCTION("IFERROR(INDEX(IMPORTRANGE(""12PgU-zwv8gBrFfxvJpoPIPcxUHWup-vsxMH3HWUigZ8"",""💰 Donations!A4:N200""),46,13),"""")"),"Aadi Festival")</f>
        <v>Aadi Festival</v>
      </c>
      <c r="M132" s="86" t="str">
        <f>IFERROR(__xludf.DUMMYFUNCTION("IFERROR(INDEX(IMPORTRANGE(""12PgU-zwv8gBrFfxvJpoPIPcxUHWup-vsxMH3HWUigZ8"",""💰 Donations!A4:N200""),46,14),"""")"),"")</f>
        <v/>
      </c>
      <c r="N132" s="85" t="str">
        <f>IFERROR(__xludf.DUMMYFUNCTION("IFERROR(IF(INDEX(IMPORTRANGE(""12PgU-zwv8gBrFfxvJpoPIPcxUHWup-vsxMH3HWUigZ8"",""💰 Donations!A4:N200""),46,10)="""","""",TEXT(INDEX(IMPORTRANGE(""12PgU-zwv8gBrFfxvJpoPIPcxUHWup-vsxMH3HWUigZ8"",""💰 Donations!A4:N200""),46,10),""DD-MM-YYYY"")),"""")"),"")</f>
        <v/>
      </c>
    </row>
    <row r="133" ht="18.0" customHeight="1">
      <c r="A133" s="19" t="str">
        <f>IFERROR(__xludf.DUMMYFUNCTION("IFERROR(INDEX(IMPORTRANGE(""12PgU-zwv8gBrFfxvJpoPIPcxUHWup-vsxMH3HWUigZ8"",""💰 Donations!A4:N200""),47,1),"""")"),"2026/D/48")</f>
        <v>2026/D/48</v>
      </c>
      <c r="B133" s="88" t="str">
        <f>IFERROR(__xludf.DUMMYFUNCTION("IFERROR(INDEX(IMPORTRANGE(""12PgU-zwv8gBrFfxvJpoPIPcxUHWup-vsxMH3HWUigZ8"",""💰 Donations!A4:N200""),47,2),"""")"),"Meera Mohan")</f>
        <v>Meera Mohan</v>
      </c>
      <c r="C133" s="3"/>
      <c r="D133" s="20">
        <f>IFERROR(__xludf.DUMMYFUNCTION("IFERROR(IFERROR(INDEX(IMPORTRANGE(""12PgU-zwv8gBrFfxvJpoPIPcxUHWup-vsxMH3HWUigZ8"",""💰 Donations!A4:N200""),47,3)*1,0),0)"),500.0)</f>
        <v>500</v>
      </c>
      <c r="E133" s="39">
        <f>IFERROR(__xludf.DUMMYFUNCTION("IFERROR(IFERROR(INDEX(IMPORTRANGE(""12PgU-zwv8gBrFfxvJpoPIPcxUHWup-vsxMH3HWUigZ8"",""💰 Donations!A4:N200""),47,4)*1,0),0)"),500.0)</f>
        <v>500</v>
      </c>
      <c r="F133" s="21">
        <f t="shared" si="5"/>
        <v>0</v>
      </c>
      <c r="G133" s="89" t="str">
        <f t="shared" si="6"/>
        <v>Received</v>
      </c>
      <c r="H133" s="50" t="str">
        <f>IFERROR(__xludf.DUMMYFUNCTION("IFERROR(INDEX(IMPORTRANGE(""12PgU-zwv8gBrFfxvJpoPIPcxUHWup-vsxMH3HWUigZ8"",""💰 Donations!A4:N200""),47,6),"""")"),"UPI")</f>
        <v>UPI</v>
      </c>
      <c r="I133" s="82" t="str">
        <f>IFERROR(__xludf.DUMMYFUNCTION("IFERROR(IF(INDEX(IMPORTRANGE(""12PgU-zwv8gBrFfxvJpoPIPcxUHWup-vsxMH3HWUigZ8"",""💰 Donations!A4:N200""),47,7)="""","""",TEXT(INDEX(IMPORTRANGE(""12PgU-zwv8gBrFfxvJpoPIPcxUHWup-vsxMH3HWUigZ8"",""💰 Donations!A4:N200""),47,7),""DD-MM-YYYY"")),"""")"),"06-08-2026")</f>
        <v>06-08-2026</v>
      </c>
      <c r="J133" s="83" t="str">
        <f>IFERROR(__xludf.DUMMYFUNCTION("IFERROR(INDEX(IMPORTRANGE(""12PgU-zwv8gBrFfxvJpoPIPcxUHWup-vsxMH3HWUigZ8"",""💰 Donations!A4:N200""),47,8),"""")"),"Sunil Kumar")</f>
        <v>Sunil Kumar</v>
      </c>
      <c r="K133" s="90" t="str">
        <f>IFERROR(__xludf.DUMMYFUNCTION("IFERROR(INDEX(IMPORTRANGE(""12PgU-zwv8gBrFfxvJpoPIPcxUHWup-vsxMH3HWUigZ8"",""💰 Donations!A4:N200""),47,11),"""")"),"")</f>
        <v/>
      </c>
      <c r="L133" s="50" t="str">
        <f>IFERROR(__xludf.DUMMYFUNCTION("IFERROR(INDEX(IMPORTRANGE(""12PgU-zwv8gBrFfxvJpoPIPcxUHWup-vsxMH3HWUigZ8"",""💰 Donations!A4:N200""),47,13),"""")"),"Weekly Pooja")</f>
        <v>Weekly Pooja</v>
      </c>
      <c r="M133" s="83" t="str">
        <f>IFERROR(__xludf.DUMMYFUNCTION("IFERROR(INDEX(IMPORTRANGE(""12PgU-zwv8gBrFfxvJpoPIPcxUHWup-vsxMH3HWUigZ8"",""💰 Donations!A4:N200""),47,14),"""")"),"")</f>
        <v/>
      </c>
      <c r="N133" s="82" t="str">
        <f>IFERROR(__xludf.DUMMYFUNCTION("IFERROR(IF(INDEX(IMPORTRANGE(""12PgU-zwv8gBrFfxvJpoPIPcxUHWup-vsxMH3HWUigZ8"",""💰 Donations!A4:N200""),47,10)="""","""",TEXT(INDEX(IMPORTRANGE(""12PgU-zwv8gBrFfxvJpoPIPcxUHWup-vsxMH3HWUigZ8"",""💰 Donations!A4:N200""),47,10),""DD-MM-YYYY"")),"""")"),"")</f>
        <v/>
      </c>
    </row>
    <row r="134" ht="18.0" customHeight="1">
      <c r="A134" s="22" t="str">
        <f>IFERROR(__xludf.DUMMYFUNCTION("IFERROR(INDEX(IMPORTRANGE(""12PgU-zwv8gBrFfxvJpoPIPcxUHWup-vsxMH3HWUigZ8"",""💰 Donations!A4:N200""),48,1),"""")"),"")</f>
        <v/>
      </c>
      <c r="B134" s="91" t="str">
        <f>IFERROR(__xludf.DUMMYFUNCTION("IFERROR(INDEX(IMPORTRANGE(""12PgU-zwv8gBrFfxvJpoPIPcxUHWup-vsxMH3HWUigZ8"",""💰 Donations!A4:N200""),48,2),"""")"),"")</f>
        <v/>
      </c>
      <c r="C134" s="3"/>
      <c r="D134" s="23">
        <f>IFERROR(__xludf.DUMMYFUNCTION("IFERROR(IFERROR(INDEX(IMPORTRANGE(""12PgU-zwv8gBrFfxvJpoPIPcxUHWup-vsxMH3HWUigZ8"",""💰 Donations!A4:N200""),48,3)*1,0),0)"),0.0)</f>
        <v>0</v>
      </c>
      <c r="E134" s="40">
        <f>IFERROR(__xludf.DUMMYFUNCTION("IFERROR(IFERROR(INDEX(IMPORTRANGE(""12PgU-zwv8gBrFfxvJpoPIPcxUHWup-vsxMH3HWUigZ8"",""💰 Donations!A4:N200""),48,4)*1,0),0)"),0.0)</f>
        <v>0</v>
      </c>
      <c r="F134" s="24">
        <f t="shared" si="5"/>
        <v>0</v>
      </c>
      <c r="G134" s="92" t="str">
        <f t="shared" si="6"/>
        <v/>
      </c>
      <c r="H134" s="54" t="str">
        <f>IFERROR(__xludf.DUMMYFUNCTION("IFERROR(INDEX(IMPORTRANGE(""12PgU-zwv8gBrFfxvJpoPIPcxUHWup-vsxMH3HWUigZ8"",""💰 Donations!A4:N200""),48,6),"""")"),"")</f>
        <v/>
      </c>
      <c r="I134" s="85" t="str">
        <f>IFERROR(__xludf.DUMMYFUNCTION("IFERROR(IF(INDEX(IMPORTRANGE(""12PgU-zwv8gBrFfxvJpoPIPcxUHWup-vsxMH3HWUigZ8"",""💰 Donations!A4:N200""),48,7)="""","""",TEXT(INDEX(IMPORTRANGE(""12PgU-zwv8gBrFfxvJpoPIPcxUHWup-vsxMH3HWUigZ8"",""💰 Donations!A4:N200""),48,7),""DD-MM-YYYY"")),"""")"),"")</f>
        <v/>
      </c>
      <c r="J134" s="86" t="str">
        <f>IFERROR(__xludf.DUMMYFUNCTION("IFERROR(INDEX(IMPORTRANGE(""12PgU-zwv8gBrFfxvJpoPIPcxUHWup-vsxMH3HWUigZ8"",""💰 Donations!A4:N200""),48,8),"""")"),"")</f>
        <v/>
      </c>
      <c r="K134" s="93" t="str">
        <f>IFERROR(__xludf.DUMMYFUNCTION("IFERROR(INDEX(IMPORTRANGE(""12PgU-zwv8gBrFfxvJpoPIPcxUHWup-vsxMH3HWUigZ8"",""💰 Donations!A4:N200""),48,11),"""")"),"")</f>
        <v/>
      </c>
      <c r="L134" s="54" t="str">
        <f>IFERROR(__xludf.DUMMYFUNCTION("IFERROR(INDEX(IMPORTRANGE(""12PgU-zwv8gBrFfxvJpoPIPcxUHWup-vsxMH3HWUigZ8"",""💰 Donations!A4:N200""),48,13),"""")"),"")</f>
        <v/>
      </c>
      <c r="M134" s="86" t="str">
        <f>IFERROR(__xludf.DUMMYFUNCTION("IFERROR(INDEX(IMPORTRANGE(""12PgU-zwv8gBrFfxvJpoPIPcxUHWup-vsxMH3HWUigZ8"",""💰 Donations!A4:N200""),48,14),"""")"),"")</f>
        <v/>
      </c>
      <c r="N134" s="85" t="str">
        <f>IFERROR(__xludf.DUMMYFUNCTION("IFERROR(IF(INDEX(IMPORTRANGE(""12PgU-zwv8gBrFfxvJpoPIPcxUHWup-vsxMH3HWUigZ8"",""💰 Donations!A4:N200""),48,10)="""","""",TEXT(INDEX(IMPORTRANGE(""12PgU-zwv8gBrFfxvJpoPIPcxUHWup-vsxMH3HWUigZ8"",""💰 Donations!A4:N200""),48,10),""DD-MM-YYYY"")),"""")"),"")</f>
        <v/>
      </c>
    </row>
    <row r="135" ht="18.0" customHeight="1">
      <c r="A135" s="19" t="str">
        <f>IFERROR(__xludf.DUMMYFUNCTION("IFERROR(INDEX(IMPORTRANGE(""12PgU-zwv8gBrFfxvJpoPIPcxUHWup-vsxMH3HWUigZ8"",""💰 Donations!A4:N200""),49,1),"""")"),"")</f>
        <v/>
      </c>
      <c r="B135" s="88" t="str">
        <f>IFERROR(__xludf.DUMMYFUNCTION("IFERROR(INDEX(IMPORTRANGE(""12PgU-zwv8gBrFfxvJpoPIPcxUHWup-vsxMH3HWUigZ8"",""💰 Donations!A4:N200""),49,2),"""")"),"")</f>
        <v/>
      </c>
      <c r="C135" s="3"/>
      <c r="D135" s="20">
        <f>IFERROR(__xludf.DUMMYFUNCTION("IFERROR(IFERROR(INDEX(IMPORTRANGE(""12PgU-zwv8gBrFfxvJpoPIPcxUHWup-vsxMH3HWUigZ8"",""💰 Donations!A4:N200""),49,3)*1,0),0)"),0.0)</f>
        <v>0</v>
      </c>
      <c r="E135" s="39">
        <f>IFERROR(__xludf.DUMMYFUNCTION("IFERROR(IFERROR(INDEX(IMPORTRANGE(""12PgU-zwv8gBrFfxvJpoPIPcxUHWup-vsxMH3HWUigZ8"",""💰 Donations!A4:N200""),49,4)*1,0),0)"),0.0)</f>
        <v>0</v>
      </c>
      <c r="F135" s="21">
        <f t="shared" si="5"/>
        <v>0</v>
      </c>
      <c r="G135" s="89" t="str">
        <f t="shared" si="6"/>
        <v/>
      </c>
      <c r="H135" s="50" t="str">
        <f>IFERROR(__xludf.DUMMYFUNCTION("IFERROR(INDEX(IMPORTRANGE(""12PgU-zwv8gBrFfxvJpoPIPcxUHWup-vsxMH3HWUigZ8"",""💰 Donations!A4:N200""),49,6),"""")"),"")</f>
        <v/>
      </c>
      <c r="I135" s="82" t="str">
        <f>IFERROR(__xludf.DUMMYFUNCTION("IFERROR(IF(INDEX(IMPORTRANGE(""12PgU-zwv8gBrFfxvJpoPIPcxUHWup-vsxMH3HWUigZ8"",""💰 Donations!A4:N200""),49,7)="""","""",TEXT(INDEX(IMPORTRANGE(""12PgU-zwv8gBrFfxvJpoPIPcxUHWup-vsxMH3HWUigZ8"",""💰 Donations!A4:N200""),49,7),""DD-MM-YYYY"")),"""")"),"")</f>
        <v/>
      </c>
      <c r="J135" s="83" t="str">
        <f>IFERROR(__xludf.DUMMYFUNCTION("IFERROR(INDEX(IMPORTRANGE(""12PgU-zwv8gBrFfxvJpoPIPcxUHWup-vsxMH3HWUigZ8"",""💰 Donations!A4:N200""),49,8),"""")"),"")</f>
        <v/>
      </c>
      <c r="K135" s="90" t="str">
        <f>IFERROR(__xludf.DUMMYFUNCTION("IFERROR(INDEX(IMPORTRANGE(""12PgU-zwv8gBrFfxvJpoPIPcxUHWup-vsxMH3HWUigZ8"",""💰 Donations!A4:N200""),49,11),"""")"),"")</f>
        <v/>
      </c>
      <c r="L135" s="50" t="str">
        <f>IFERROR(__xludf.DUMMYFUNCTION("IFERROR(INDEX(IMPORTRANGE(""12PgU-zwv8gBrFfxvJpoPIPcxUHWup-vsxMH3HWUigZ8"",""💰 Donations!A4:N200""),49,13),"""")"),"")</f>
        <v/>
      </c>
      <c r="M135" s="83" t="str">
        <f>IFERROR(__xludf.DUMMYFUNCTION("IFERROR(INDEX(IMPORTRANGE(""12PgU-zwv8gBrFfxvJpoPIPcxUHWup-vsxMH3HWUigZ8"",""💰 Donations!A4:N200""),49,14),"""")"),"")</f>
        <v/>
      </c>
      <c r="N135" s="82" t="str">
        <f>IFERROR(__xludf.DUMMYFUNCTION("IFERROR(IF(INDEX(IMPORTRANGE(""12PgU-zwv8gBrFfxvJpoPIPcxUHWup-vsxMH3HWUigZ8"",""💰 Donations!A4:N200""),49,10)="""","""",TEXT(INDEX(IMPORTRANGE(""12PgU-zwv8gBrFfxvJpoPIPcxUHWup-vsxMH3HWUigZ8"",""💰 Donations!A4:N200""),49,10),""DD-MM-YYYY"")),"""")"),"")</f>
        <v/>
      </c>
    </row>
    <row r="136" ht="18.0" customHeight="1">
      <c r="A136" s="22" t="str">
        <f>IFERROR(__xludf.DUMMYFUNCTION("IFERROR(INDEX(IMPORTRANGE(""12PgU-zwv8gBrFfxvJpoPIPcxUHWup-vsxMH3HWUigZ8"",""💰 Donations!A4:N200""),50,1),"""")"),"")</f>
        <v/>
      </c>
      <c r="B136" s="91" t="str">
        <f>IFERROR(__xludf.DUMMYFUNCTION("IFERROR(INDEX(IMPORTRANGE(""12PgU-zwv8gBrFfxvJpoPIPcxUHWup-vsxMH3HWUigZ8"",""💰 Donations!A4:N200""),50,2),"""")"),"")</f>
        <v/>
      </c>
      <c r="C136" s="3"/>
      <c r="D136" s="23">
        <f>IFERROR(__xludf.DUMMYFUNCTION("IFERROR(IFERROR(INDEX(IMPORTRANGE(""12PgU-zwv8gBrFfxvJpoPIPcxUHWup-vsxMH3HWUigZ8"",""💰 Donations!A4:N200""),50,3)*1,0),0)"),0.0)</f>
        <v>0</v>
      </c>
      <c r="E136" s="40">
        <f>IFERROR(__xludf.DUMMYFUNCTION("IFERROR(IFERROR(INDEX(IMPORTRANGE(""12PgU-zwv8gBrFfxvJpoPIPcxUHWup-vsxMH3HWUigZ8"",""💰 Donations!A4:N200""),50,4)*1,0),0)"),0.0)</f>
        <v>0</v>
      </c>
      <c r="F136" s="24">
        <f t="shared" si="5"/>
        <v>0</v>
      </c>
      <c r="G136" s="92" t="str">
        <f t="shared" si="6"/>
        <v/>
      </c>
      <c r="H136" s="54" t="str">
        <f>IFERROR(__xludf.DUMMYFUNCTION("IFERROR(INDEX(IMPORTRANGE(""12PgU-zwv8gBrFfxvJpoPIPcxUHWup-vsxMH3HWUigZ8"",""💰 Donations!A4:N200""),50,6),"""")"),"")</f>
        <v/>
      </c>
      <c r="I136" s="85" t="str">
        <f>IFERROR(__xludf.DUMMYFUNCTION("IFERROR(IF(INDEX(IMPORTRANGE(""12PgU-zwv8gBrFfxvJpoPIPcxUHWup-vsxMH3HWUigZ8"",""💰 Donations!A4:N200""),50,7)="""","""",TEXT(INDEX(IMPORTRANGE(""12PgU-zwv8gBrFfxvJpoPIPcxUHWup-vsxMH3HWUigZ8"",""💰 Donations!A4:N200""),50,7),""DD-MM-YYYY"")),"""")"),"")</f>
        <v/>
      </c>
      <c r="J136" s="86" t="str">
        <f>IFERROR(__xludf.DUMMYFUNCTION("IFERROR(INDEX(IMPORTRANGE(""12PgU-zwv8gBrFfxvJpoPIPcxUHWup-vsxMH3HWUigZ8"",""💰 Donations!A4:N200""),50,8),"""")"),"")</f>
        <v/>
      </c>
      <c r="K136" s="93" t="str">
        <f>IFERROR(__xludf.DUMMYFUNCTION("IFERROR(INDEX(IMPORTRANGE(""12PgU-zwv8gBrFfxvJpoPIPcxUHWup-vsxMH3HWUigZ8"",""💰 Donations!A4:N200""),50,11),"""")"),"")</f>
        <v/>
      </c>
      <c r="L136" s="54" t="str">
        <f>IFERROR(__xludf.DUMMYFUNCTION("IFERROR(INDEX(IMPORTRANGE(""12PgU-zwv8gBrFfxvJpoPIPcxUHWup-vsxMH3HWUigZ8"",""💰 Donations!A4:N200""),50,13),"""")"),"")</f>
        <v/>
      </c>
      <c r="M136" s="86" t="str">
        <f>IFERROR(__xludf.DUMMYFUNCTION("IFERROR(INDEX(IMPORTRANGE(""12PgU-zwv8gBrFfxvJpoPIPcxUHWup-vsxMH3HWUigZ8"",""💰 Donations!A4:N200""),50,14),"""")"),"")</f>
        <v/>
      </c>
      <c r="N136" s="85" t="str">
        <f>IFERROR(__xludf.DUMMYFUNCTION("IFERROR(IF(INDEX(IMPORTRANGE(""12PgU-zwv8gBrFfxvJpoPIPcxUHWup-vsxMH3HWUigZ8"",""💰 Donations!A4:N200""),50,10)="""","""",TEXT(INDEX(IMPORTRANGE(""12PgU-zwv8gBrFfxvJpoPIPcxUHWup-vsxMH3HWUigZ8"",""💰 Donations!A4:N200""),50,10),""DD-MM-YYYY"")),"""")"),"")</f>
        <v/>
      </c>
    </row>
    <row r="137" ht="19.5" customHeight="1">
      <c r="A137" s="33" t="s">
        <v>28</v>
      </c>
      <c r="B137" s="2"/>
      <c r="C137" s="3"/>
      <c r="D137" s="34">
        <f>SUMPRODUCT((A87:A136&lt;&gt;"")*D87:D136)</f>
        <v>307803</v>
      </c>
      <c r="E137" s="34">
        <f>SUMPRODUCT((A87:A136&lt;&gt;"")*E87:E136)</f>
        <v>247803</v>
      </c>
      <c r="F137" s="34">
        <f>D137-E137</f>
        <v>60000</v>
      </c>
      <c r="G137" s="38"/>
      <c r="H137" s="38"/>
      <c r="I137" s="38"/>
      <c r="J137" s="38"/>
      <c r="K137" s="38"/>
      <c r="L137" s="38"/>
      <c r="M137" s="38"/>
      <c r="N137" s="38"/>
    </row>
    <row r="138" ht="6.0" customHeight="1"/>
    <row r="139" ht="19.5" customHeight="1">
      <c r="A139" s="5" t="s">
        <v>113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</row>
    <row r="140" ht="18.0" customHeight="1">
      <c r="A140" s="17" t="s">
        <v>14</v>
      </c>
      <c r="B140" s="17" t="s">
        <v>106</v>
      </c>
      <c r="C140" s="17" t="s">
        <v>114</v>
      </c>
      <c r="D140" s="17" t="s">
        <v>115</v>
      </c>
      <c r="E140" s="17" t="s">
        <v>116</v>
      </c>
      <c r="F140" s="17" t="s">
        <v>15</v>
      </c>
      <c r="G140" s="17" t="s">
        <v>47</v>
      </c>
      <c r="H140" s="17" t="s">
        <v>117</v>
      </c>
      <c r="I140" s="17" t="s">
        <v>109</v>
      </c>
    </row>
    <row r="141" ht="18.0" customHeight="1">
      <c r="A141" s="19" t="str">
        <f>IFERROR(__xludf.DUMMYFUNCTION("IFERROR(INDEX(IMPORTRANGE(""12PgU-zwv8gBrFfxvJpoPIPcxUHWup-vsxMH3HWUigZ8"",""🌿 In-Kind!A4:I200""),1,1),"""")"),"2026/IK/1")</f>
        <v>2026/IK/1</v>
      </c>
      <c r="B141" s="83" t="str">
        <f>IFERROR(__xludf.DUMMYFUNCTION("IFERROR(INDEX(IMPORTRANGE(""12PgU-zwv8gBrFfxvJpoPIPcxUHWup-vsxMH3HWUigZ8"",""🌿 In-Kind!A4:I200""),1,2),"""")"),"Meera Mohan")</f>
        <v>Meera Mohan</v>
      </c>
      <c r="C141" s="94" t="str">
        <f>IFERROR(__xludf.DUMMYFUNCTION("IFERROR(INDEX(IMPORTRANGE(""12PgU-zwv8gBrFfxvJpoPIPcxUHWup-vsxMH3HWUigZ8"",""🌿 In-Kind!A4:I200""),1,3),"""")"),"Saree for Ponniamma — Saree for Old Uthsav Amman, Stitched cloth, For Moolasthanam, Small Amman, Three Nagathamman, Vinayagar &amp; Murugan")</f>
        <v>Saree for Ponniamma — Saree for Old Uthsav Amman, Stitched cloth, For Moolasthanam, Small Amman, Three Nagathamman, Vinayagar &amp; Murugan</v>
      </c>
      <c r="D141" s="50">
        <f>IFERROR(__xludf.DUMMYFUNCTION("IFERROR(INDEX(IMPORTRANGE(""12PgU-zwv8gBrFfxvJpoPIPcxUHWup-vsxMH3HWUigZ8"",""🌿 In-Kind!A4:I200""),1,4),"""")"),1.0)</f>
        <v>1</v>
      </c>
      <c r="E141" s="95">
        <f>IFERROR(__xludf.DUMMYFUNCTION("IFERROR(IFERROR(INDEX(IMPORTRANGE(""12PgU-zwv8gBrFfxvJpoPIPcxUHWup-vsxMH3HWUigZ8"",""🌿 In-Kind!A4:I200""),1,5)*1,0),0)"),5000.0)</f>
        <v>5000</v>
      </c>
      <c r="F141" s="83" t="str">
        <f>IFERROR(__xludf.DUMMYFUNCTION("IFERROR(INDEX(IMPORTRANGE(""12PgU-zwv8gBrFfxvJpoPIPcxUHWup-vsxMH3HWUigZ8"",""🌿 In-Kind!A4:I200""),1,6),"""")"),"Clothing")</f>
        <v>Clothing</v>
      </c>
      <c r="G141" s="89" t="str">
        <f>IFERROR(__xludf.DUMMYFUNCTION("IFERROR(INDEX(IMPORTRANGE(""12PgU-zwv8gBrFfxvJpoPIPcxUHWup-vsxMH3HWUigZ8"",""🌿 In-Kind!A4:I200""),1,9),"""")"),"In Stock")</f>
        <v>In Stock</v>
      </c>
      <c r="H141" s="82" t="str">
        <f>IFERROR(__xludf.DUMMYFUNCTION("IFERROR(IF(INDEX(IMPORTRANGE(""12PgU-zwv8gBrFfxvJpoPIPcxUHWup-vsxMH3HWUigZ8"",""🌿 In-Kind!A4:I200""),1,7)="""","""",TEXT(INDEX(IMPORTRANGE(""12PgU-zwv8gBrFfxvJpoPIPcxUHWup-vsxMH3HWUigZ8"",""🌿 In-Kind!A4:I200""),1,7),""DD-MM-YYYY"")),"""")"),"24-05-2026")</f>
        <v>24-05-2026</v>
      </c>
      <c r="I141" s="83" t="str">
        <f>IFERROR(__xludf.DUMMYFUNCTION("IFERROR(INDEX(IMPORTRANGE(""12PgU-zwv8gBrFfxvJpoPIPcxUHWup-vsxMH3HWUigZ8"",""🌿 In-Kind!A4:I200""),1,8),"""")"),"Sunil Kumar")</f>
        <v>Sunil Kumar</v>
      </c>
      <c r="J141" s="36"/>
      <c r="K141" s="36"/>
      <c r="L141" s="36"/>
      <c r="M141" s="36"/>
      <c r="N141" s="36"/>
    </row>
    <row r="142" ht="18.0" customHeight="1">
      <c r="A142" s="22" t="str">
        <f>IFERROR(__xludf.DUMMYFUNCTION("IFERROR(INDEX(IMPORTRANGE(""12PgU-zwv8gBrFfxvJpoPIPcxUHWup-vsxMH3HWUigZ8"",""🌿 In-Kind!A4:I200""),2,1),"""")"),"2026/IK/2")</f>
        <v>2026/IK/2</v>
      </c>
      <c r="B142" s="86" t="str">
        <f>IFERROR(__xludf.DUMMYFUNCTION("IFERROR(INDEX(IMPORTRANGE(""12PgU-zwv8gBrFfxvJpoPIPcxUHWup-vsxMH3HWUigZ8"",""🌿 In-Kind!A4:I200""),2,2),"""")"),"Santhosh Natesan")</f>
        <v>Santhosh Natesan</v>
      </c>
      <c r="C142" s="96" t="str">
        <f>IFERROR(__xludf.DUMMYFUNCTION("IFERROR(INDEX(IMPORTRANGE(""12PgU-zwv8gBrFfxvJpoPIPcxUHWup-vsxMH3HWUigZ8"",""🌿 In-Kind!A4:I200""),2,3),"""")"),"MS Ladders")</f>
        <v>MS Ladders</v>
      </c>
      <c r="D142" s="54">
        <f>IFERROR(__xludf.DUMMYFUNCTION("IFERROR(INDEX(IMPORTRANGE(""12PgU-zwv8gBrFfxvJpoPIPcxUHWup-vsxMH3HWUigZ8"",""🌿 In-Kind!A4:I200""),2,4),"""")"),2.0)</f>
        <v>2</v>
      </c>
      <c r="E142" s="97">
        <f>IFERROR(__xludf.DUMMYFUNCTION("IFERROR(IFERROR(INDEX(IMPORTRANGE(""12PgU-zwv8gBrFfxvJpoPIPcxUHWup-vsxMH3HWUigZ8"",""🌿 In-Kind!A4:I200""),2,5)*1,0),0)"),1400.0)</f>
        <v>1400</v>
      </c>
      <c r="F142" s="86" t="str">
        <f>IFERROR(__xludf.DUMMYFUNCTION("IFERROR(INDEX(IMPORTRANGE(""12PgU-zwv8gBrFfxvJpoPIPcxUHWup-vsxMH3HWUigZ8"",""🌿 In-Kind!A4:I200""),2,6),"""")"),"Miscellaneous")</f>
        <v>Miscellaneous</v>
      </c>
      <c r="G142" s="92" t="str">
        <f>IFERROR(__xludf.DUMMYFUNCTION("IFERROR(INDEX(IMPORTRANGE(""12PgU-zwv8gBrFfxvJpoPIPcxUHWup-vsxMH3HWUigZ8"",""🌿 In-Kind!A4:I200""),2,9),"""")"),"In Stock")</f>
        <v>In Stock</v>
      </c>
      <c r="H142" s="85" t="str">
        <f>IFERROR(__xludf.DUMMYFUNCTION("IFERROR(IF(INDEX(IMPORTRANGE(""12PgU-zwv8gBrFfxvJpoPIPcxUHWup-vsxMH3HWUigZ8"",""🌿 In-Kind!A4:I200""),2,7)="""","""",TEXT(INDEX(IMPORTRANGE(""12PgU-zwv8gBrFfxvJpoPIPcxUHWup-vsxMH3HWUigZ8"",""🌿 In-Kind!A4:I200""),2,7),""DD-MM-YYYY"")),"""")"),"29-05-2026")</f>
        <v>29-05-2026</v>
      </c>
      <c r="I142" s="86" t="str">
        <f>IFERROR(__xludf.DUMMYFUNCTION("IFERROR(INDEX(IMPORTRANGE(""12PgU-zwv8gBrFfxvJpoPIPcxUHWup-vsxMH3HWUigZ8"",""🌿 In-Kind!A4:I200""),2,8),"""")"),"Sunil Kumar")</f>
        <v>Sunil Kumar</v>
      </c>
      <c r="J142" s="37"/>
      <c r="K142" s="37"/>
      <c r="L142" s="37"/>
      <c r="M142" s="37"/>
      <c r="N142" s="37"/>
    </row>
    <row r="143" ht="18.0" customHeight="1">
      <c r="A143" s="19" t="str">
        <f>IFERROR(__xludf.DUMMYFUNCTION("IFERROR(INDEX(IMPORTRANGE(""12PgU-zwv8gBrFfxvJpoPIPcxUHWup-vsxMH3HWUigZ8"",""🌿 In-Kind!A4:I200""),3,1),"""")"),"2026/IK/3")</f>
        <v>2026/IK/3</v>
      </c>
      <c r="B143" s="83" t="str">
        <f>IFERROR(__xludf.DUMMYFUNCTION("IFERROR(INDEX(IMPORTRANGE(""12PgU-zwv8gBrFfxvJpoPIPcxUHWup-vsxMH3HWUigZ8"",""🌿 In-Kind!A4:I200""),3,2),"""")"),"Suresh Velu")</f>
        <v>Suresh Velu</v>
      </c>
      <c r="C143" s="94" t="str">
        <f>IFERROR(__xludf.DUMMYFUNCTION("IFERROR(INDEX(IMPORTRANGE(""12PgU-zwv8gBrFfxvJpoPIPcxUHWup-vsxMH3HWUigZ8"",""🌿 In-Kind!A4:I200""),3,3),"""")"),"Clothes to poojari and his Wife and erular")</f>
        <v>Clothes to poojari and his Wife and erular</v>
      </c>
      <c r="D143" s="50">
        <f>IFERROR(__xludf.DUMMYFUNCTION("IFERROR(INDEX(IMPORTRANGE(""12PgU-zwv8gBrFfxvJpoPIPcxUHWup-vsxMH3HWUigZ8"",""🌿 In-Kind!A4:I200""),3,4),"""")"),1.0)</f>
        <v>1</v>
      </c>
      <c r="E143" s="95">
        <f>IFERROR(__xludf.DUMMYFUNCTION("IFERROR(IFERROR(INDEX(IMPORTRANGE(""12PgU-zwv8gBrFfxvJpoPIPcxUHWup-vsxMH3HWUigZ8"",""🌿 In-Kind!A4:I200""),3,5)*1,0),0)"),2000.0)</f>
        <v>2000</v>
      </c>
      <c r="F143" s="83" t="str">
        <f>IFERROR(__xludf.DUMMYFUNCTION("IFERROR(INDEX(IMPORTRANGE(""12PgU-zwv8gBrFfxvJpoPIPcxUHWup-vsxMH3HWUigZ8"",""🌿 In-Kind!A4:I200""),3,6),"""")"),"Clothing")</f>
        <v>Clothing</v>
      </c>
      <c r="G143" s="89" t="str">
        <f>IFERROR(__xludf.DUMMYFUNCTION("IFERROR(INDEX(IMPORTRANGE(""12PgU-zwv8gBrFfxvJpoPIPcxUHWup-vsxMH3HWUigZ8"",""🌿 In-Kind!A4:I200""),3,9),"""")"),"In Stock")</f>
        <v>In Stock</v>
      </c>
      <c r="H143" s="82" t="str">
        <f>IFERROR(__xludf.DUMMYFUNCTION("IFERROR(IF(INDEX(IMPORTRANGE(""12PgU-zwv8gBrFfxvJpoPIPcxUHWup-vsxMH3HWUigZ8"",""🌿 In-Kind!A4:I200""),3,7)="""","""",TEXT(INDEX(IMPORTRANGE(""12PgU-zwv8gBrFfxvJpoPIPcxUHWup-vsxMH3HWUigZ8"",""🌿 In-Kind!A4:I200""),3,7),""DD-MM-YYYY"")),"""")"),"24-05-2026")</f>
        <v>24-05-2026</v>
      </c>
      <c r="I143" s="83" t="str">
        <f>IFERROR(__xludf.DUMMYFUNCTION("IFERROR(INDEX(IMPORTRANGE(""12PgU-zwv8gBrFfxvJpoPIPcxUHWup-vsxMH3HWUigZ8"",""🌿 In-Kind!A4:I200""),3,8),"""")"),"Suresh Velu")</f>
        <v>Suresh Velu</v>
      </c>
      <c r="J143" s="36"/>
      <c r="K143" s="36"/>
      <c r="L143" s="36"/>
      <c r="M143" s="36"/>
      <c r="N143" s="36"/>
    </row>
    <row r="144" ht="18.0" customHeight="1">
      <c r="A144" s="22" t="str">
        <f>IFERROR(__xludf.DUMMYFUNCTION("IFERROR(INDEX(IMPORTRANGE(""12PgU-zwv8gBrFfxvJpoPIPcxUHWup-vsxMH3HWUigZ8"",""🌿 In-Kind!A4:I200""),4,1),"""")"),"")</f>
        <v/>
      </c>
      <c r="B144" s="86" t="str">
        <f>IFERROR(__xludf.DUMMYFUNCTION("IFERROR(INDEX(IMPORTRANGE(""12PgU-zwv8gBrFfxvJpoPIPcxUHWup-vsxMH3HWUigZ8"",""🌿 In-Kind!A4:I200""),4,2),"""")"),"")</f>
        <v/>
      </c>
      <c r="C144" s="96" t="str">
        <f>IFERROR(__xludf.DUMMYFUNCTION("IFERROR(INDEX(IMPORTRANGE(""12PgU-zwv8gBrFfxvJpoPIPcxUHWup-vsxMH3HWUigZ8"",""🌿 In-Kind!A4:I200""),4,3),"""")"),"")</f>
        <v/>
      </c>
      <c r="D144" s="54" t="str">
        <f>IFERROR(__xludf.DUMMYFUNCTION("IFERROR(INDEX(IMPORTRANGE(""12PgU-zwv8gBrFfxvJpoPIPcxUHWup-vsxMH3HWUigZ8"",""🌿 In-Kind!A4:I200""),4,4),"""")"),"")</f>
        <v/>
      </c>
      <c r="E144" s="97">
        <f>IFERROR(__xludf.DUMMYFUNCTION("IFERROR(IFERROR(INDEX(IMPORTRANGE(""12PgU-zwv8gBrFfxvJpoPIPcxUHWup-vsxMH3HWUigZ8"",""🌿 In-Kind!A4:I200""),4,5)*1,0),0)"),0.0)</f>
        <v>0</v>
      </c>
      <c r="F144" s="86" t="str">
        <f>IFERROR(__xludf.DUMMYFUNCTION("IFERROR(INDEX(IMPORTRANGE(""12PgU-zwv8gBrFfxvJpoPIPcxUHWup-vsxMH3HWUigZ8"",""🌿 In-Kind!A4:I200""),4,6),"""")"),"")</f>
        <v/>
      </c>
      <c r="G144" s="92" t="str">
        <f>IFERROR(__xludf.DUMMYFUNCTION("IFERROR(INDEX(IMPORTRANGE(""12PgU-zwv8gBrFfxvJpoPIPcxUHWup-vsxMH3HWUigZ8"",""🌿 In-Kind!A4:I200""),4,9),"""")"),"")</f>
        <v/>
      </c>
      <c r="H144" s="85" t="str">
        <f>IFERROR(__xludf.DUMMYFUNCTION("IFERROR(IF(INDEX(IMPORTRANGE(""12PgU-zwv8gBrFfxvJpoPIPcxUHWup-vsxMH3HWUigZ8"",""🌿 In-Kind!A4:I200""),4,7)="""","""",TEXT(INDEX(IMPORTRANGE(""12PgU-zwv8gBrFfxvJpoPIPcxUHWup-vsxMH3HWUigZ8"",""🌿 In-Kind!A4:I200""),4,7),""DD-MM-YYYY"")),"""")"),"")</f>
        <v/>
      </c>
      <c r="I144" s="86" t="str">
        <f>IFERROR(__xludf.DUMMYFUNCTION("IFERROR(INDEX(IMPORTRANGE(""12PgU-zwv8gBrFfxvJpoPIPcxUHWup-vsxMH3HWUigZ8"",""🌿 In-Kind!A4:I200""),4,8),"""")"),"")</f>
        <v/>
      </c>
      <c r="J144" s="37"/>
      <c r="K144" s="37"/>
      <c r="L144" s="37"/>
      <c r="M144" s="37"/>
      <c r="N144" s="37"/>
    </row>
    <row r="145" ht="18.0" customHeight="1">
      <c r="A145" s="19" t="str">
        <f>IFERROR(__xludf.DUMMYFUNCTION("IFERROR(INDEX(IMPORTRANGE(""12PgU-zwv8gBrFfxvJpoPIPcxUHWup-vsxMH3HWUigZ8"",""🌿 In-Kind!A4:I200""),5,1),"""")"),"")</f>
        <v/>
      </c>
      <c r="B145" s="83" t="str">
        <f>IFERROR(__xludf.DUMMYFUNCTION("IFERROR(INDEX(IMPORTRANGE(""12PgU-zwv8gBrFfxvJpoPIPcxUHWup-vsxMH3HWUigZ8"",""🌿 In-Kind!A4:I200""),5,2),"""")"),"")</f>
        <v/>
      </c>
      <c r="C145" s="94" t="str">
        <f>IFERROR(__xludf.DUMMYFUNCTION("IFERROR(INDEX(IMPORTRANGE(""12PgU-zwv8gBrFfxvJpoPIPcxUHWup-vsxMH3HWUigZ8"",""🌿 In-Kind!A4:I200""),5,3),"""")"),"")</f>
        <v/>
      </c>
      <c r="D145" s="50" t="str">
        <f>IFERROR(__xludf.DUMMYFUNCTION("IFERROR(INDEX(IMPORTRANGE(""12PgU-zwv8gBrFfxvJpoPIPcxUHWup-vsxMH3HWUigZ8"",""🌿 In-Kind!A4:I200""),5,4),"""")"),"")</f>
        <v/>
      </c>
      <c r="E145" s="95">
        <f>IFERROR(__xludf.DUMMYFUNCTION("IFERROR(IFERROR(INDEX(IMPORTRANGE(""12PgU-zwv8gBrFfxvJpoPIPcxUHWup-vsxMH3HWUigZ8"",""🌿 In-Kind!A4:I200""),5,5)*1,0),0)"),0.0)</f>
        <v>0</v>
      </c>
      <c r="F145" s="83" t="str">
        <f>IFERROR(__xludf.DUMMYFUNCTION("IFERROR(INDEX(IMPORTRANGE(""12PgU-zwv8gBrFfxvJpoPIPcxUHWup-vsxMH3HWUigZ8"",""🌿 In-Kind!A4:I200""),5,6),"""")"),"")</f>
        <v/>
      </c>
      <c r="G145" s="89" t="str">
        <f>IFERROR(__xludf.DUMMYFUNCTION("IFERROR(INDEX(IMPORTRANGE(""12PgU-zwv8gBrFfxvJpoPIPcxUHWup-vsxMH3HWUigZ8"",""🌿 In-Kind!A4:I200""),5,9),"""")"),"")</f>
        <v/>
      </c>
      <c r="H145" s="82" t="str">
        <f>IFERROR(__xludf.DUMMYFUNCTION("IFERROR(IF(INDEX(IMPORTRANGE(""12PgU-zwv8gBrFfxvJpoPIPcxUHWup-vsxMH3HWUigZ8"",""🌿 In-Kind!A4:I200""),5,7)="""","""",TEXT(INDEX(IMPORTRANGE(""12PgU-zwv8gBrFfxvJpoPIPcxUHWup-vsxMH3HWUigZ8"",""🌿 In-Kind!A4:I200""),5,7),""DD-MM-YYYY"")),"""")"),"")</f>
        <v/>
      </c>
      <c r="I145" s="83" t="str">
        <f>IFERROR(__xludf.DUMMYFUNCTION("IFERROR(INDEX(IMPORTRANGE(""12PgU-zwv8gBrFfxvJpoPIPcxUHWup-vsxMH3HWUigZ8"",""🌿 In-Kind!A4:I200""),5,8),"""")"),"")</f>
        <v/>
      </c>
      <c r="J145" s="36"/>
      <c r="K145" s="36"/>
      <c r="L145" s="36"/>
      <c r="M145" s="36"/>
      <c r="N145" s="36"/>
    </row>
    <row r="146" ht="18.0" customHeight="1">
      <c r="A146" s="22" t="str">
        <f>IFERROR(__xludf.DUMMYFUNCTION("IFERROR(INDEX(IMPORTRANGE(""12PgU-zwv8gBrFfxvJpoPIPcxUHWup-vsxMH3HWUigZ8"",""🌿 In-Kind!A4:I200""),6,1),"""")"),"")</f>
        <v/>
      </c>
      <c r="B146" s="86" t="str">
        <f>IFERROR(__xludf.DUMMYFUNCTION("IFERROR(INDEX(IMPORTRANGE(""12PgU-zwv8gBrFfxvJpoPIPcxUHWup-vsxMH3HWUigZ8"",""🌿 In-Kind!A4:I200""),6,2),"""")"),"")</f>
        <v/>
      </c>
      <c r="C146" s="96" t="str">
        <f>IFERROR(__xludf.DUMMYFUNCTION("IFERROR(INDEX(IMPORTRANGE(""12PgU-zwv8gBrFfxvJpoPIPcxUHWup-vsxMH3HWUigZ8"",""🌿 In-Kind!A4:I200""),6,3),"""")"),"")</f>
        <v/>
      </c>
      <c r="D146" s="54" t="str">
        <f>IFERROR(__xludf.DUMMYFUNCTION("IFERROR(INDEX(IMPORTRANGE(""12PgU-zwv8gBrFfxvJpoPIPcxUHWup-vsxMH3HWUigZ8"",""🌿 In-Kind!A4:I200""),6,4),"""")"),"")</f>
        <v/>
      </c>
      <c r="E146" s="97">
        <f>IFERROR(__xludf.DUMMYFUNCTION("IFERROR(IFERROR(INDEX(IMPORTRANGE(""12PgU-zwv8gBrFfxvJpoPIPcxUHWup-vsxMH3HWUigZ8"",""🌿 In-Kind!A4:I200""),6,5)*1,0),0)"),0.0)</f>
        <v>0</v>
      </c>
      <c r="F146" s="86" t="str">
        <f>IFERROR(__xludf.DUMMYFUNCTION("IFERROR(INDEX(IMPORTRANGE(""12PgU-zwv8gBrFfxvJpoPIPcxUHWup-vsxMH3HWUigZ8"",""🌿 In-Kind!A4:I200""),6,6),"""")"),"")</f>
        <v/>
      </c>
      <c r="G146" s="92" t="str">
        <f>IFERROR(__xludf.DUMMYFUNCTION("IFERROR(INDEX(IMPORTRANGE(""12PgU-zwv8gBrFfxvJpoPIPcxUHWup-vsxMH3HWUigZ8"",""🌿 In-Kind!A4:I200""),6,9),"""")"),"")</f>
        <v/>
      </c>
      <c r="H146" s="85" t="str">
        <f>IFERROR(__xludf.DUMMYFUNCTION("IFERROR(IF(INDEX(IMPORTRANGE(""12PgU-zwv8gBrFfxvJpoPIPcxUHWup-vsxMH3HWUigZ8"",""🌿 In-Kind!A4:I200""),6,7)="""","""",TEXT(INDEX(IMPORTRANGE(""12PgU-zwv8gBrFfxvJpoPIPcxUHWup-vsxMH3HWUigZ8"",""🌿 In-Kind!A4:I200""),6,7),""DD-MM-YYYY"")),"""")"),"")</f>
        <v/>
      </c>
      <c r="I146" s="86" t="str">
        <f>IFERROR(__xludf.DUMMYFUNCTION("IFERROR(INDEX(IMPORTRANGE(""12PgU-zwv8gBrFfxvJpoPIPcxUHWup-vsxMH3HWUigZ8"",""🌿 In-Kind!A4:I200""),6,8),"""")"),"")</f>
        <v/>
      </c>
      <c r="J146" s="37"/>
      <c r="K146" s="37"/>
      <c r="L146" s="37"/>
      <c r="M146" s="37"/>
      <c r="N146" s="37"/>
    </row>
    <row r="147" ht="18.0" customHeight="1">
      <c r="A147" s="19" t="str">
        <f>IFERROR(__xludf.DUMMYFUNCTION("IFERROR(INDEX(IMPORTRANGE(""12PgU-zwv8gBrFfxvJpoPIPcxUHWup-vsxMH3HWUigZ8"",""🌿 In-Kind!A4:I200""),7,1),"""")"),"")</f>
        <v/>
      </c>
      <c r="B147" s="83" t="str">
        <f>IFERROR(__xludf.DUMMYFUNCTION("IFERROR(INDEX(IMPORTRANGE(""12PgU-zwv8gBrFfxvJpoPIPcxUHWup-vsxMH3HWUigZ8"",""🌿 In-Kind!A4:I200""),7,2),"""")"),"")</f>
        <v/>
      </c>
      <c r="C147" s="94" t="str">
        <f>IFERROR(__xludf.DUMMYFUNCTION("IFERROR(INDEX(IMPORTRANGE(""12PgU-zwv8gBrFfxvJpoPIPcxUHWup-vsxMH3HWUigZ8"",""🌿 In-Kind!A4:I200""),7,3),"""")"),"")</f>
        <v/>
      </c>
      <c r="D147" s="50" t="str">
        <f>IFERROR(__xludf.DUMMYFUNCTION("IFERROR(INDEX(IMPORTRANGE(""12PgU-zwv8gBrFfxvJpoPIPcxUHWup-vsxMH3HWUigZ8"",""🌿 In-Kind!A4:I200""),7,4),"""")"),"")</f>
        <v/>
      </c>
      <c r="E147" s="95">
        <f>IFERROR(__xludf.DUMMYFUNCTION("IFERROR(IFERROR(INDEX(IMPORTRANGE(""12PgU-zwv8gBrFfxvJpoPIPcxUHWup-vsxMH3HWUigZ8"",""🌿 In-Kind!A4:I200""),7,5)*1,0),0)"),0.0)</f>
        <v>0</v>
      </c>
      <c r="F147" s="83" t="str">
        <f>IFERROR(__xludf.DUMMYFUNCTION("IFERROR(INDEX(IMPORTRANGE(""12PgU-zwv8gBrFfxvJpoPIPcxUHWup-vsxMH3HWUigZ8"",""🌿 In-Kind!A4:I200""),7,6),"""")"),"")</f>
        <v/>
      </c>
      <c r="G147" s="89" t="str">
        <f>IFERROR(__xludf.DUMMYFUNCTION("IFERROR(INDEX(IMPORTRANGE(""12PgU-zwv8gBrFfxvJpoPIPcxUHWup-vsxMH3HWUigZ8"",""🌿 In-Kind!A4:I200""),7,9),"""")"),"")</f>
        <v/>
      </c>
      <c r="H147" s="82" t="str">
        <f>IFERROR(__xludf.DUMMYFUNCTION("IFERROR(IF(INDEX(IMPORTRANGE(""12PgU-zwv8gBrFfxvJpoPIPcxUHWup-vsxMH3HWUigZ8"",""🌿 In-Kind!A4:I200""),7,7)="""","""",TEXT(INDEX(IMPORTRANGE(""12PgU-zwv8gBrFfxvJpoPIPcxUHWup-vsxMH3HWUigZ8"",""🌿 In-Kind!A4:I200""),7,7),""DD-MM-YYYY"")),"""")"),"")</f>
        <v/>
      </c>
      <c r="I147" s="83" t="str">
        <f>IFERROR(__xludf.DUMMYFUNCTION("IFERROR(INDEX(IMPORTRANGE(""12PgU-zwv8gBrFfxvJpoPIPcxUHWup-vsxMH3HWUigZ8"",""🌿 In-Kind!A4:I200""),7,8),"""")"),"")</f>
        <v/>
      </c>
      <c r="J147" s="36"/>
      <c r="K147" s="36"/>
      <c r="L147" s="36"/>
      <c r="M147" s="36"/>
      <c r="N147" s="36"/>
    </row>
    <row r="148" ht="18.0" customHeight="1">
      <c r="A148" s="22" t="str">
        <f>IFERROR(__xludf.DUMMYFUNCTION("IFERROR(INDEX(IMPORTRANGE(""12PgU-zwv8gBrFfxvJpoPIPcxUHWup-vsxMH3HWUigZ8"",""🌿 In-Kind!A4:I200""),8,1),"""")"),"")</f>
        <v/>
      </c>
      <c r="B148" s="86" t="str">
        <f>IFERROR(__xludf.DUMMYFUNCTION("IFERROR(INDEX(IMPORTRANGE(""12PgU-zwv8gBrFfxvJpoPIPcxUHWup-vsxMH3HWUigZ8"",""🌿 In-Kind!A4:I200""),8,2),"""")"),"")</f>
        <v/>
      </c>
      <c r="C148" s="96" t="str">
        <f>IFERROR(__xludf.DUMMYFUNCTION("IFERROR(INDEX(IMPORTRANGE(""12PgU-zwv8gBrFfxvJpoPIPcxUHWup-vsxMH3HWUigZ8"",""🌿 In-Kind!A4:I200""),8,3),"""")"),"")</f>
        <v/>
      </c>
      <c r="D148" s="54" t="str">
        <f>IFERROR(__xludf.DUMMYFUNCTION("IFERROR(INDEX(IMPORTRANGE(""12PgU-zwv8gBrFfxvJpoPIPcxUHWup-vsxMH3HWUigZ8"",""🌿 In-Kind!A4:I200""),8,4),"""")"),"")</f>
        <v/>
      </c>
      <c r="E148" s="97">
        <f>IFERROR(__xludf.DUMMYFUNCTION("IFERROR(IFERROR(INDEX(IMPORTRANGE(""12PgU-zwv8gBrFfxvJpoPIPcxUHWup-vsxMH3HWUigZ8"",""🌿 In-Kind!A4:I200""),8,5)*1,0),0)"),0.0)</f>
        <v>0</v>
      </c>
      <c r="F148" s="86" t="str">
        <f>IFERROR(__xludf.DUMMYFUNCTION("IFERROR(INDEX(IMPORTRANGE(""12PgU-zwv8gBrFfxvJpoPIPcxUHWup-vsxMH3HWUigZ8"",""🌿 In-Kind!A4:I200""),8,6),"""")"),"")</f>
        <v/>
      </c>
      <c r="G148" s="92" t="str">
        <f>IFERROR(__xludf.DUMMYFUNCTION("IFERROR(INDEX(IMPORTRANGE(""12PgU-zwv8gBrFfxvJpoPIPcxUHWup-vsxMH3HWUigZ8"",""🌿 In-Kind!A4:I200""),8,9),"""")"),"")</f>
        <v/>
      </c>
      <c r="H148" s="85" t="str">
        <f>IFERROR(__xludf.DUMMYFUNCTION("IFERROR(IF(INDEX(IMPORTRANGE(""12PgU-zwv8gBrFfxvJpoPIPcxUHWup-vsxMH3HWUigZ8"",""🌿 In-Kind!A4:I200""),8,7)="""","""",TEXT(INDEX(IMPORTRANGE(""12PgU-zwv8gBrFfxvJpoPIPcxUHWup-vsxMH3HWUigZ8"",""🌿 In-Kind!A4:I200""),8,7),""DD-MM-YYYY"")),"""")"),"")</f>
        <v/>
      </c>
      <c r="I148" s="86" t="str">
        <f>IFERROR(__xludf.DUMMYFUNCTION("IFERROR(INDEX(IMPORTRANGE(""12PgU-zwv8gBrFfxvJpoPIPcxUHWup-vsxMH3HWUigZ8"",""🌿 In-Kind!A4:I200""),8,8),"""")"),"")</f>
        <v/>
      </c>
      <c r="J148" s="37"/>
      <c r="K148" s="37"/>
      <c r="L148" s="37"/>
      <c r="M148" s="37"/>
      <c r="N148" s="37"/>
    </row>
    <row r="149" ht="18.0" customHeight="1">
      <c r="A149" s="19" t="str">
        <f>IFERROR(__xludf.DUMMYFUNCTION("IFERROR(INDEX(IMPORTRANGE(""12PgU-zwv8gBrFfxvJpoPIPcxUHWup-vsxMH3HWUigZ8"",""🌿 In-Kind!A4:I200""),9,1),"""")"),"")</f>
        <v/>
      </c>
      <c r="B149" s="83" t="str">
        <f>IFERROR(__xludf.DUMMYFUNCTION("IFERROR(INDEX(IMPORTRANGE(""12PgU-zwv8gBrFfxvJpoPIPcxUHWup-vsxMH3HWUigZ8"",""🌿 In-Kind!A4:I200""),9,2),"""")"),"")</f>
        <v/>
      </c>
      <c r="C149" s="94" t="str">
        <f>IFERROR(__xludf.DUMMYFUNCTION("IFERROR(INDEX(IMPORTRANGE(""12PgU-zwv8gBrFfxvJpoPIPcxUHWup-vsxMH3HWUigZ8"",""🌿 In-Kind!A4:I200""),9,3),"""")"),"")</f>
        <v/>
      </c>
      <c r="D149" s="50" t="str">
        <f>IFERROR(__xludf.DUMMYFUNCTION("IFERROR(INDEX(IMPORTRANGE(""12PgU-zwv8gBrFfxvJpoPIPcxUHWup-vsxMH3HWUigZ8"",""🌿 In-Kind!A4:I200""),9,4),"""")"),"")</f>
        <v/>
      </c>
      <c r="E149" s="95">
        <f>IFERROR(__xludf.DUMMYFUNCTION("IFERROR(IFERROR(INDEX(IMPORTRANGE(""12PgU-zwv8gBrFfxvJpoPIPcxUHWup-vsxMH3HWUigZ8"",""🌿 In-Kind!A4:I200""),9,5)*1,0),0)"),0.0)</f>
        <v>0</v>
      </c>
      <c r="F149" s="83" t="str">
        <f>IFERROR(__xludf.DUMMYFUNCTION("IFERROR(INDEX(IMPORTRANGE(""12PgU-zwv8gBrFfxvJpoPIPcxUHWup-vsxMH3HWUigZ8"",""🌿 In-Kind!A4:I200""),9,6),"""")"),"")</f>
        <v/>
      </c>
      <c r="G149" s="89" t="str">
        <f>IFERROR(__xludf.DUMMYFUNCTION("IFERROR(INDEX(IMPORTRANGE(""12PgU-zwv8gBrFfxvJpoPIPcxUHWup-vsxMH3HWUigZ8"",""🌿 In-Kind!A4:I200""),9,9),"""")"),"")</f>
        <v/>
      </c>
      <c r="H149" s="82" t="str">
        <f>IFERROR(__xludf.DUMMYFUNCTION("IFERROR(IF(INDEX(IMPORTRANGE(""12PgU-zwv8gBrFfxvJpoPIPcxUHWup-vsxMH3HWUigZ8"",""🌿 In-Kind!A4:I200""),9,7)="""","""",TEXT(INDEX(IMPORTRANGE(""12PgU-zwv8gBrFfxvJpoPIPcxUHWup-vsxMH3HWUigZ8"",""🌿 In-Kind!A4:I200""),9,7),""DD-MM-YYYY"")),"""")"),"")</f>
        <v/>
      </c>
      <c r="I149" s="83" t="str">
        <f>IFERROR(__xludf.DUMMYFUNCTION("IFERROR(INDEX(IMPORTRANGE(""12PgU-zwv8gBrFfxvJpoPIPcxUHWup-vsxMH3HWUigZ8"",""🌿 In-Kind!A4:I200""),9,8),"""")"),"")</f>
        <v/>
      </c>
      <c r="J149" s="36"/>
      <c r="K149" s="36"/>
      <c r="L149" s="36"/>
      <c r="M149" s="36"/>
      <c r="N149" s="36"/>
    </row>
    <row r="150" ht="18.0" customHeight="1">
      <c r="A150" s="22" t="str">
        <f>IFERROR(__xludf.DUMMYFUNCTION("IFERROR(INDEX(IMPORTRANGE(""12PgU-zwv8gBrFfxvJpoPIPcxUHWup-vsxMH3HWUigZ8"",""🌿 In-Kind!A4:I200""),10,1),"""")"),"")</f>
        <v/>
      </c>
      <c r="B150" s="86" t="str">
        <f>IFERROR(__xludf.DUMMYFUNCTION("IFERROR(INDEX(IMPORTRANGE(""12PgU-zwv8gBrFfxvJpoPIPcxUHWup-vsxMH3HWUigZ8"",""🌿 In-Kind!A4:I200""),10,2),"""")"),"")</f>
        <v/>
      </c>
      <c r="C150" s="96" t="str">
        <f>IFERROR(__xludf.DUMMYFUNCTION("IFERROR(INDEX(IMPORTRANGE(""12PgU-zwv8gBrFfxvJpoPIPcxUHWup-vsxMH3HWUigZ8"",""🌿 In-Kind!A4:I200""),10,3),"""")"),"")</f>
        <v/>
      </c>
      <c r="D150" s="54" t="str">
        <f>IFERROR(__xludf.DUMMYFUNCTION("IFERROR(INDEX(IMPORTRANGE(""12PgU-zwv8gBrFfxvJpoPIPcxUHWup-vsxMH3HWUigZ8"",""🌿 In-Kind!A4:I200""),10,4),"""")"),"")</f>
        <v/>
      </c>
      <c r="E150" s="97">
        <f>IFERROR(__xludf.DUMMYFUNCTION("IFERROR(IFERROR(INDEX(IMPORTRANGE(""12PgU-zwv8gBrFfxvJpoPIPcxUHWup-vsxMH3HWUigZ8"",""🌿 In-Kind!A4:I200""),10,5)*1,0),0)"),0.0)</f>
        <v>0</v>
      </c>
      <c r="F150" s="86" t="str">
        <f>IFERROR(__xludf.DUMMYFUNCTION("IFERROR(INDEX(IMPORTRANGE(""12PgU-zwv8gBrFfxvJpoPIPcxUHWup-vsxMH3HWUigZ8"",""🌿 In-Kind!A4:I200""),10,6),"""")"),"")</f>
        <v/>
      </c>
      <c r="G150" s="92" t="str">
        <f>IFERROR(__xludf.DUMMYFUNCTION("IFERROR(INDEX(IMPORTRANGE(""12PgU-zwv8gBrFfxvJpoPIPcxUHWup-vsxMH3HWUigZ8"",""🌿 In-Kind!A4:I200""),10,9),"""")"),"")</f>
        <v/>
      </c>
      <c r="H150" s="85" t="str">
        <f>IFERROR(__xludf.DUMMYFUNCTION("IFERROR(IF(INDEX(IMPORTRANGE(""12PgU-zwv8gBrFfxvJpoPIPcxUHWup-vsxMH3HWUigZ8"",""🌿 In-Kind!A4:I200""),10,7)="""","""",TEXT(INDEX(IMPORTRANGE(""12PgU-zwv8gBrFfxvJpoPIPcxUHWup-vsxMH3HWUigZ8"",""🌿 In-Kind!A4:I200""),10,7),""DD-MM-YYYY"")),"""")"),"")</f>
        <v/>
      </c>
      <c r="I150" s="86" t="str">
        <f>IFERROR(__xludf.DUMMYFUNCTION("IFERROR(INDEX(IMPORTRANGE(""12PgU-zwv8gBrFfxvJpoPIPcxUHWup-vsxMH3HWUigZ8"",""🌿 In-Kind!A4:I200""),10,8),"""")"),"")</f>
        <v/>
      </c>
      <c r="J150" s="37"/>
      <c r="K150" s="37"/>
      <c r="L150" s="37"/>
      <c r="M150" s="37"/>
      <c r="N150" s="37"/>
    </row>
    <row r="151" ht="18.0" customHeight="1">
      <c r="A151" s="19" t="str">
        <f>IFERROR(__xludf.DUMMYFUNCTION("IFERROR(INDEX(IMPORTRANGE(""12PgU-zwv8gBrFfxvJpoPIPcxUHWup-vsxMH3HWUigZ8"",""🌿 In-Kind!A4:I200""),11,1),"""")"),"")</f>
        <v/>
      </c>
      <c r="B151" s="83" t="str">
        <f>IFERROR(__xludf.DUMMYFUNCTION("IFERROR(INDEX(IMPORTRANGE(""12PgU-zwv8gBrFfxvJpoPIPcxUHWup-vsxMH3HWUigZ8"",""🌿 In-Kind!A4:I200""),11,2),"""")"),"")</f>
        <v/>
      </c>
      <c r="C151" s="94" t="str">
        <f>IFERROR(__xludf.DUMMYFUNCTION("IFERROR(INDEX(IMPORTRANGE(""12PgU-zwv8gBrFfxvJpoPIPcxUHWup-vsxMH3HWUigZ8"",""🌿 In-Kind!A4:I200""),11,3),"""")"),"")</f>
        <v/>
      </c>
      <c r="D151" s="50" t="str">
        <f>IFERROR(__xludf.DUMMYFUNCTION("IFERROR(INDEX(IMPORTRANGE(""12PgU-zwv8gBrFfxvJpoPIPcxUHWup-vsxMH3HWUigZ8"",""🌿 In-Kind!A4:I200""),11,4),"""")"),"")</f>
        <v/>
      </c>
      <c r="E151" s="95">
        <f>IFERROR(__xludf.DUMMYFUNCTION("IFERROR(IFERROR(INDEX(IMPORTRANGE(""12PgU-zwv8gBrFfxvJpoPIPcxUHWup-vsxMH3HWUigZ8"",""🌿 In-Kind!A4:I200""),11,5)*1,0),0)"),0.0)</f>
        <v>0</v>
      </c>
      <c r="F151" s="83" t="str">
        <f>IFERROR(__xludf.DUMMYFUNCTION("IFERROR(INDEX(IMPORTRANGE(""12PgU-zwv8gBrFfxvJpoPIPcxUHWup-vsxMH3HWUigZ8"",""🌿 In-Kind!A4:I200""),11,6),"""")"),"")</f>
        <v/>
      </c>
      <c r="G151" s="89" t="str">
        <f>IFERROR(__xludf.DUMMYFUNCTION("IFERROR(INDEX(IMPORTRANGE(""12PgU-zwv8gBrFfxvJpoPIPcxUHWup-vsxMH3HWUigZ8"",""🌿 In-Kind!A4:I200""),11,9),"""")"),"")</f>
        <v/>
      </c>
      <c r="H151" s="82" t="str">
        <f>IFERROR(__xludf.DUMMYFUNCTION("IFERROR(IF(INDEX(IMPORTRANGE(""12PgU-zwv8gBrFfxvJpoPIPcxUHWup-vsxMH3HWUigZ8"",""🌿 In-Kind!A4:I200""),11,7)="""","""",TEXT(INDEX(IMPORTRANGE(""12PgU-zwv8gBrFfxvJpoPIPcxUHWup-vsxMH3HWUigZ8"",""🌿 In-Kind!A4:I200""),11,7),""DD-MM-YYYY"")),"""")"),"")</f>
        <v/>
      </c>
      <c r="I151" s="83" t="str">
        <f>IFERROR(__xludf.DUMMYFUNCTION("IFERROR(INDEX(IMPORTRANGE(""12PgU-zwv8gBrFfxvJpoPIPcxUHWup-vsxMH3HWUigZ8"",""🌿 In-Kind!A4:I200""),11,8),"""")"),"")</f>
        <v/>
      </c>
      <c r="J151" s="36"/>
      <c r="K151" s="36"/>
      <c r="L151" s="36"/>
      <c r="M151" s="36"/>
      <c r="N151" s="36"/>
    </row>
    <row r="152" ht="18.0" customHeight="1">
      <c r="A152" s="22" t="str">
        <f>IFERROR(__xludf.DUMMYFUNCTION("IFERROR(INDEX(IMPORTRANGE(""12PgU-zwv8gBrFfxvJpoPIPcxUHWup-vsxMH3HWUigZ8"",""🌿 In-Kind!A4:I200""),12,1),"""")"),"")</f>
        <v/>
      </c>
      <c r="B152" s="86" t="str">
        <f>IFERROR(__xludf.DUMMYFUNCTION("IFERROR(INDEX(IMPORTRANGE(""12PgU-zwv8gBrFfxvJpoPIPcxUHWup-vsxMH3HWUigZ8"",""🌿 In-Kind!A4:I200""),12,2),"""")"),"")</f>
        <v/>
      </c>
      <c r="C152" s="96" t="str">
        <f>IFERROR(__xludf.DUMMYFUNCTION("IFERROR(INDEX(IMPORTRANGE(""12PgU-zwv8gBrFfxvJpoPIPcxUHWup-vsxMH3HWUigZ8"",""🌿 In-Kind!A4:I200""),12,3),"""")"),"")</f>
        <v/>
      </c>
      <c r="D152" s="54" t="str">
        <f>IFERROR(__xludf.DUMMYFUNCTION("IFERROR(INDEX(IMPORTRANGE(""12PgU-zwv8gBrFfxvJpoPIPcxUHWup-vsxMH3HWUigZ8"",""🌿 In-Kind!A4:I200""),12,4),"""")"),"")</f>
        <v/>
      </c>
      <c r="E152" s="97">
        <f>IFERROR(__xludf.DUMMYFUNCTION("IFERROR(IFERROR(INDEX(IMPORTRANGE(""12PgU-zwv8gBrFfxvJpoPIPcxUHWup-vsxMH3HWUigZ8"",""🌿 In-Kind!A4:I200""),12,5)*1,0),0)"),0.0)</f>
        <v>0</v>
      </c>
      <c r="F152" s="86" t="str">
        <f>IFERROR(__xludf.DUMMYFUNCTION("IFERROR(INDEX(IMPORTRANGE(""12PgU-zwv8gBrFfxvJpoPIPcxUHWup-vsxMH3HWUigZ8"",""🌿 In-Kind!A4:I200""),12,6),"""")"),"")</f>
        <v/>
      </c>
      <c r="G152" s="92" t="str">
        <f>IFERROR(__xludf.DUMMYFUNCTION("IFERROR(INDEX(IMPORTRANGE(""12PgU-zwv8gBrFfxvJpoPIPcxUHWup-vsxMH3HWUigZ8"",""🌿 In-Kind!A4:I200""),12,9),"""")"),"")</f>
        <v/>
      </c>
      <c r="H152" s="85" t="str">
        <f>IFERROR(__xludf.DUMMYFUNCTION("IFERROR(IF(INDEX(IMPORTRANGE(""12PgU-zwv8gBrFfxvJpoPIPcxUHWup-vsxMH3HWUigZ8"",""🌿 In-Kind!A4:I200""),12,7)="""","""",TEXT(INDEX(IMPORTRANGE(""12PgU-zwv8gBrFfxvJpoPIPcxUHWup-vsxMH3HWUigZ8"",""🌿 In-Kind!A4:I200""),12,7),""DD-MM-YYYY"")),"""")"),"")</f>
        <v/>
      </c>
      <c r="I152" s="86" t="str">
        <f>IFERROR(__xludf.DUMMYFUNCTION("IFERROR(INDEX(IMPORTRANGE(""12PgU-zwv8gBrFfxvJpoPIPcxUHWup-vsxMH3HWUigZ8"",""🌿 In-Kind!A4:I200""),12,8),"""")"),"")</f>
        <v/>
      </c>
      <c r="J152" s="37"/>
      <c r="K152" s="37"/>
      <c r="L152" s="37"/>
      <c r="M152" s="37"/>
      <c r="N152" s="37"/>
    </row>
    <row r="153" ht="18.0" customHeight="1">
      <c r="A153" s="19" t="str">
        <f>IFERROR(__xludf.DUMMYFUNCTION("IFERROR(INDEX(IMPORTRANGE(""12PgU-zwv8gBrFfxvJpoPIPcxUHWup-vsxMH3HWUigZ8"",""🌿 In-Kind!A4:I200""),13,1),"""")"),"")</f>
        <v/>
      </c>
      <c r="B153" s="83" t="str">
        <f>IFERROR(__xludf.DUMMYFUNCTION("IFERROR(INDEX(IMPORTRANGE(""12PgU-zwv8gBrFfxvJpoPIPcxUHWup-vsxMH3HWUigZ8"",""🌿 In-Kind!A4:I200""),13,2),"""")"),"")</f>
        <v/>
      </c>
      <c r="C153" s="94" t="str">
        <f>IFERROR(__xludf.DUMMYFUNCTION("IFERROR(INDEX(IMPORTRANGE(""12PgU-zwv8gBrFfxvJpoPIPcxUHWup-vsxMH3HWUigZ8"",""🌿 In-Kind!A4:I200""),13,3),"""")"),"")</f>
        <v/>
      </c>
      <c r="D153" s="50" t="str">
        <f>IFERROR(__xludf.DUMMYFUNCTION("IFERROR(INDEX(IMPORTRANGE(""12PgU-zwv8gBrFfxvJpoPIPcxUHWup-vsxMH3HWUigZ8"",""🌿 In-Kind!A4:I200""),13,4),"""")"),"")</f>
        <v/>
      </c>
      <c r="E153" s="95">
        <f>IFERROR(__xludf.DUMMYFUNCTION("IFERROR(IFERROR(INDEX(IMPORTRANGE(""12PgU-zwv8gBrFfxvJpoPIPcxUHWup-vsxMH3HWUigZ8"",""🌿 In-Kind!A4:I200""),13,5)*1,0),0)"),0.0)</f>
        <v>0</v>
      </c>
      <c r="F153" s="83" t="str">
        <f>IFERROR(__xludf.DUMMYFUNCTION("IFERROR(INDEX(IMPORTRANGE(""12PgU-zwv8gBrFfxvJpoPIPcxUHWup-vsxMH3HWUigZ8"",""🌿 In-Kind!A4:I200""),13,6),"""")"),"")</f>
        <v/>
      </c>
      <c r="G153" s="89" t="str">
        <f>IFERROR(__xludf.DUMMYFUNCTION("IFERROR(INDEX(IMPORTRANGE(""12PgU-zwv8gBrFfxvJpoPIPcxUHWup-vsxMH3HWUigZ8"",""🌿 In-Kind!A4:I200""),13,9),"""")"),"")</f>
        <v/>
      </c>
      <c r="H153" s="82" t="str">
        <f>IFERROR(__xludf.DUMMYFUNCTION("IFERROR(IF(INDEX(IMPORTRANGE(""12PgU-zwv8gBrFfxvJpoPIPcxUHWup-vsxMH3HWUigZ8"",""🌿 In-Kind!A4:I200""),13,7)="""","""",TEXT(INDEX(IMPORTRANGE(""12PgU-zwv8gBrFfxvJpoPIPcxUHWup-vsxMH3HWUigZ8"",""🌿 In-Kind!A4:I200""),13,7),""DD-MM-YYYY"")),"""")"),"")</f>
        <v/>
      </c>
      <c r="I153" s="83" t="str">
        <f>IFERROR(__xludf.DUMMYFUNCTION("IFERROR(INDEX(IMPORTRANGE(""12PgU-zwv8gBrFfxvJpoPIPcxUHWup-vsxMH3HWUigZ8"",""🌿 In-Kind!A4:I200""),13,8),"""")"),"")</f>
        <v/>
      </c>
      <c r="J153" s="36"/>
      <c r="K153" s="36"/>
      <c r="L153" s="36"/>
      <c r="M153" s="36"/>
      <c r="N153" s="36"/>
    </row>
    <row r="154" ht="18.0" customHeight="1">
      <c r="A154" s="22" t="str">
        <f>IFERROR(__xludf.DUMMYFUNCTION("IFERROR(INDEX(IMPORTRANGE(""12PgU-zwv8gBrFfxvJpoPIPcxUHWup-vsxMH3HWUigZ8"",""🌿 In-Kind!A4:I200""),14,1),"""")"),"")</f>
        <v/>
      </c>
      <c r="B154" s="86" t="str">
        <f>IFERROR(__xludf.DUMMYFUNCTION("IFERROR(INDEX(IMPORTRANGE(""12PgU-zwv8gBrFfxvJpoPIPcxUHWup-vsxMH3HWUigZ8"",""🌿 In-Kind!A4:I200""),14,2),"""")"),"")</f>
        <v/>
      </c>
      <c r="C154" s="96" t="str">
        <f>IFERROR(__xludf.DUMMYFUNCTION("IFERROR(INDEX(IMPORTRANGE(""12PgU-zwv8gBrFfxvJpoPIPcxUHWup-vsxMH3HWUigZ8"",""🌿 In-Kind!A4:I200""),14,3),"""")"),"")</f>
        <v/>
      </c>
      <c r="D154" s="54" t="str">
        <f>IFERROR(__xludf.DUMMYFUNCTION("IFERROR(INDEX(IMPORTRANGE(""12PgU-zwv8gBrFfxvJpoPIPcxUHWup-vsxMH3HWUigZ8"",""🌿 In-Kind!A4:I200""),14,4),"""")"),"")</f>
        <v/>
      </c>
      <c r="E154" s="97">
        <f>IFERROR(__xludf.DUMMYFUNCTION("IFERROR(IFERROR(INDEX(IMPORTRANGE(""12PgU-zwv8gBrFfxvJpoPIPcxUHWup-vsxMH3HWUigZ8"",""🌿 In-Kind!A4:I200""),14,5)*1,0),0)"),0.0)</f>
        <v>0</v>
      </c>
      <c r="F154" s="86" t="str">
        <f>IFERROR(__xludf.DUMMYFUNCTION("IFERROR(INDEX(IMPORTRANGE(""12PgU-zwv8gBrFfxvJpoPIPcxUHWup-vsxMH3HWUigZ8"",""🌿 In-Kind!A4:I200""),14,6),"""")"),"")</f>
        <v/>
      </c>
      <c r="G154" s="92" t="str">
        <f>IFERROR(__xludf.DUMMYFUNCTION("IFERROR(INDEX(IMPORTRANGE(""12PgU-zwv8gBrFfxvJpoPIPcxUHWup-vsxMH3HWUigZ8"",""🌿 In-Kind!A4:I200""),14,9),"""")"),"")</f>
        <v/>
      </c>
      <c r="H154" s="85" t="str">
        <f>IFERROR(__xludf.DUMMYFUNCTION("IFERROR(IF(INDEX(IMPORTRANGE(""12PgU-zwv8gBrFfxvJpoPIPcxUHWup-vsxMH3HWUigZ8"",""🌿 In-Kind!A4:I200""),14,7)="""","""",TEXT(INDEX(IMPORTRANGE(""12PgU-zwv8gBrFfxvJpoPIPcxUHWup-vsxMH3HWUigZ8"",""🌿 In-Kind!A4:I200""),14,7),""DD-MM-YYYY"")),"""")"),"")</f>
        <v/>
      </c>
      <c r="I154" s="86" t="str">
        <f>IFERROR(__xludf.DUMMYFUNCTION("IFERROR(INDEX(IMPORTRANGE(""12PgU-zwv8gBrFfxvJpoPIPcxUHWup-vsxMH3HWUigZ8"",""🌿 In-Kind!A4:I200""),14,8),"""")"),"")</f>
        <v/>
      </c>
      <c r="J154" s="37"/>
      <c r="K154" s="37"/>
      <c r="L154" s="37"/>
      <c r="M154" s="37"/>
      <c r="N154" s="37"/>
    </row>
    <row r="155" ht="18.0" customHeight="1">
      <c r="A155" s="19" t="str">
        <f>IFERROR(__xludf.DUMMYFUNCTION("IFERROR(INDEX(IMPORTRANGE(""12PgU-zwv8gBrFfxvJpoPIPcxUHWup-vsxMH3HWUigZ8"",""🌿 In-Kind!A4:I200""),15,1),"""")"),"")</f>
        <v/>
      </c>
      <c r="B155" s="83" t="str">
        <f>IFERROR(__xludf.DUMMYFUNCTION("IFERROR(INDEX(IMPORTRANGE(""12PgU-zwv8gBrFfxvJpoPIPcxUHWup-vsxMH3HWUigZ8"",""🌿 In-Kind!A4:I200""),15,2),"""")"),"")</f>
        <v/>
      </c>
      <c r="C155" s="94" t="str">
        <f>IFERROR(__xludf.DUMMYFUNCTION("IFERROR(INDEX(IMPORTRANGE(""12PgU-zwv8gBrFfxvJpoPIPcxUHWup-vsxMH3HWUigZ8"",""🌿 In-Kind!A4:I200""),15,3),"""")"),"")</f>
        <v/>
      </c>
      <c r="D155" s="50" t="str">
        <f>IFERROR(__xludf.DUMMYFUNCTION("IFERROR(INDEX(IMPORTRANGE(""12PgU-zwv8gBrFfxvJpoPIPcxUHWup-vsxMH3HWUigZ8"",""🌿 In-Kind!A4:I200""),15,4),"""")"),"")</f>
        <v/>
      </c>
      <c r="E155" s="95">
        <f>IFERROR(__xludf.DUMMYFUNCTION("IFERROR(IFERROR(INDEX(IMPORTRANGE(""12PgU-zwv8gBrFfxvJpoPIPcxUHWup-vsxMH3HWUigZ8"",""🌿 In-Kind!A4:I200""),15,5)*1,0),0)"),0.0)</f>
        <v>0</v>
      </c>
      <c r="F155" s="83" t="str">
        <f>IFERROR(__xludf.DUMMYFUNCTION("IFERROR(INDEX(IMPORTRANGE(""12PgU-zwv8gBrFfxvJpoPIPcxUHWup-vsxMH3HWUigZ8"",""🌿 In-Kind!A4:I200""),15,6),"""")"),"")</f>
        <v/>
      </c>
      <c r="G155" s="89" t="str">
        <f>IFERROR(__xludf.DUMMYFUNCTION("IFERROR(INDEX(IMPORTRANGE(""12PgU-zwv8gBrFfxvJpoPIPcxUHWup-vsxMH3HWUigZ8"",""🌿 In-Kind!A4:I200""),15,9),"""")"),"")</f>
        <v/>
      </c>
      <c r="H155" s="82" t="str">
        <f>IFERROR(__xludf.DUMMYFUNCTION("IFERROR(IF(INDEX(IMPORTRANGE(""12PgU-zwv8gBrFfxvJpoPIPcxUHWup-vsxMH3HWUigZ8"",""🌿 In-Kind!A4:I200""),15,7)="""","""",TEXT(INDEX(IMPORTRANGE(""12PgU-zwv8gBrFfxvJpoPIPcxUHWup-vsxMH3HWUigZ8"",""🌿 In-Kind!A4:I200""),15,7),""DD-MM-YYYY"")),"""")"),"")</f>
        <v/>
      </c>
      <c r="I155" s="83" t="str">
        <f>IFERROR(__xludf.DUMMYFUNCTION("IFERROR(INDEX(IMPORTRANGE(""12PgU-zwv8gBrFfxvJpoPIPcxUHWup-vsxMH3HWUigZ8"",""🌿 In-Kind!A4:I200""),15,8),"""")"),"")</f>
        <v/>
      </c>
      <c r="J155" s="36"/>
      <c r="K155" s="36"/>
      <c r="L155" s="36"/>
      <c r="M155" s="36"/>
      <c r="N155" s="36"/>
    </row>
    <row r="156" ht="18.0" customHeight="1">
      <c r="A156" s="22" t="str">
        <f>IFERROR(__xludf.DUMMYFUNCTION("IFERROR(INDEX(IMPORTRANGE(""12PgU-zwv8gBrFfxvJpoPIPcxUHWup-vsxMH3HWUigZ8"",""🌿 In-Kind!A4:I200""),16,1),"""")"),"")</f>
        <v/>
      </c>
      <c r="B156" s="86" t="str">
        <f>IFERROR(__xludf.DUMMYFUNCTION("IFERROR(INDEX(IMPORTRANGE(""12PgU-zwv8gBrFfxvJpoPIPcxUHWup-vsxMH3HWUigZ8"",""🌿 In-Kind!A4:I200""),16,2),"""")"),"")</f>
        <v/>
      </c>
      <c r="C156" s="96" t="str">
        <f>IFERROR(__xludf.DUMMYFUNCTION("IFERROR(INDEX(IMPORTRANGE(""12PgU-zwv8gBrFfxvJpoPIPcxUHWup-vsxMH3HWUigZ8"",""🌿 In-Kind!A4:I200""),16,3),"""")"),"")</f>
        <v/>
      </c>
      <c r="D156" s="54" t="str">
        <f>IFERROR(__xludf.DUMMYFUNCTION("IFERROR(INDEX(IMPORTRANGE(""12PgU-zwv8gBrFfxvJpoPIPcxUHWup-vsxMH3HWUigZ8"",""🌿 In-Kind!A4:I200""),16,4),"""")"),"")</f>
        <v/>
      </c>
      <c r="E156" s="97">
        <f>IFERROR(__xludf.DUMMYFUNCTION("IFERROR(IFERROR(INDEX(IMPORTRANGE(""12PgU-zwv8gBrFfxvJpoPIPcxUHWup-vsxMH3HWUigZ8"",""🌿 In-Kind!A4:I200""),16,5)*1,0),0)"),0.0)</f>
        <v>0</v>
      </c>
      <c r="F156" s="86" t="str">
        <f>IFERROR(__xludf.DUMMYFUNCTION("IFERROR(INDEX(IMPORTRANGE(""12PgU-zwv8gBrFfxvJpoPIPcxUHWup-vsxMH3HWUigZ8"",""🌿 In-Kind!A4:I200""),16,6),"""")"),"")</f>
        <v/>
      </c>
      <c r="G156" s="92" t="str">
        <f>IFERROR(__xludf.DUMMYFUNCTION("IFERROR(INDEX(IMPORTRANGE(""12PgU-zwv8gBrFfxvJpoPIPcxUHWup-vsxMH3HWUigZ8"",""🌿 In-Kind!A4:I200""),16,9),"""")"),"")</f>
        <v/>
      </c>
      <c r="H156" s="85" t="str">
        <f>IFERROR(__xludf.DUMMYFUNCTION("IFERROR(IF(INDEX(IMPORTRANGE(""12PgU-zwv8gBrFfxvJpoPIPcxUHWup-vsxMH3HWUigZ8"",""🌿 In-Kind!A4:I200""),16,7)="""","""",TEXT(INDEX(IMPORTRANGE(""12PgU-zwv8gBrFfxvJpoPIPcxUHWup-vsxMH3HWUigZ8"",""🌿 In-Kind!A4:I200""),16,7),""DD-MM-YYYY"")),"""")"),"")</f>
        <v/>
      </c>
      <c r="I156" s="86" t="str">
        <f>IFERROR(__xludf.DUMMYFUNCTION("IFERROR(INDEX(IMPORTRANGE(""12PgU-zwv8gBrFfxvJpoPIPcxUHWup-vsxMH3HWUigZ8"",""🌿 In-Kind!A4:I200""),16,8),"""")"),"")</f>
        <v/>
      </c>
      <c r="J156" s="37"/>
      <c r="K156" s="37"/>
      <c r="L156" s="37"/>
      <c r="M156" s="37"/>
      <c r="N156" s="37"/>
    </row>
    <row r="157" ht="18.0" customHeight="1">
      <c r="A157" s="19" t="str">
        <f>IFERROR(__xludf.DUMMYFUNCTION("IFERROR(INDEX(IMPORTRANGE(""12PgU-zwv8gBrFfxvJpoPIPcxUHWup-vsxMH3HWUigZ8"",""🌿 In-Kind!A4:I200""),17,1),"""")"),"")</f>
        <v/>
      </c>
      <c r="B157" s="83" t="str">
        <f>IFERROR(__xludf.DUMMYFUNCTION("IFERROR(INDEX(IMPORTRANGE(""12PgU-zwv8gBrFfxvJpoPIPcxUHWup-vsxMH3HWUigZ8"",""🌿 In-Kind!A4:I200""),17,2),"""")"),"")</f>
        <v/>
      </c>
      <c r="C157" s="94" t="str">
        <f>IFERROR(__xludf.DUMMYFUNCTION("IFERROR(INDEX(IMPORTRANGE(""12PgU-zwv8gBrFfxvJpoPIPcxUHWup-vsxMH3HWUigZ8"",""🌿 In-Kind!A4:I200""),17,3),"""")"),"")</f>
        <v/>
      </c>
      <c r="D157" s="50" t="str">
        <f>IFERROR(__xludf.DUMMYFUNCTION("IFERROR(INDEX(IMPORTRANGE(""12PgU-zwv8gBrFfxvJpoPIPcxUHWup-vsxMH3HWUigZ8"",""🌿 In-Kind!A4:I200""),17,4),"""")"),"")</f>
        <v/>
      </c>
      <c r="E157" s="95">
        <f>IFERROR(__xludf.DUMMYFUNCTION("IFERROR(IFERROR(INDEX(IMPORTRANGE(""12PgU-zwv8gBrFfxvJpoPIPcxUHWup-vsxMH3HWUigZ8"",""🌿 In-Kind!A4:I200""),17,5)*1,0),0)"),0.0)</f>
        <v>0</v>
      </c>
      <c r="F157" s="83" t="str">
        <f>IFERROR(__xludf.DUMMYFUNCTION("IFERROR(INDEX(IMPORTRANGE(""12PgU-zwv8gBrFfxvJpoPIPcxUHWup-vsxMH3HWUigZ8"",""🌿 In-Kind!A4:I200""),17,6),"""")"),"")</f>
        <v/>
      </c>
      <c r="G157" s="89" t="str">
        <f>IFERROR(__xludf.DUMMYFUNCTION("IFERROR(INDEX(IMPORTRANGE(""12PgU-zwv8gBrFfxvJpoPIPcxUHWup-vsxMH3HWUigZ8"",""🌿 In-Kind!A4:I200""),17,9),"""")"),"")</f>
        <v/>
      </c>
      <c r="H157" s="82" t="str">
        <f>IFERROR(__xludf.DUMMYFUNCTION("IFERROR(IF(INDEX(IMPORTRANGE(""12PgU-zwv8gBrFfxvJpoPIPcxUHWup-vsxMH3HWUigZ8"",""🌿 In-Kind!A4:I200""),17,7)="""","""",TEXT(INDEX(IMPORTRANGE(""12PgU-zwv8gBrFfxvJpoPIPcxUHWup-vsxMH3HWUigZ8"",""🌿 In-Kind!A4:I200""),17,7),""DD-MM-YYYY"")),"""")"),"")</f>
        <v/>
      </c>
      <c r="I157" s="83" t="str">
        <f>IFERROR(__xludf.DUMMYFUNCTION("IFERROR(INDEX(IMPORTRANGE(""12PgU-zwv8gBrFfxvJpoPIPcxUHWup-vsxMH3HWUigZ8"",""🌿 In-Kind!A4:I200""),17,8),"""")"),"")</f>
        <v/>
      </c>
      <c r="J157" s="36"/>
      <c r="K157" s="36"/>
      <c r="L157" s="36"/>
      <c r="M157" s="36"/>
      <c r="N157" s="36"/>
    </row>
    <row r="158" ht="18.0" customHeight="1">
      <c r="A158" s="22" t="str">
        <f>IFERROR(__xludf.DUMMYFUNCTION("IFERROR(INDEX(IMPORTRANGE(""12PgU-zwv8gBrFfxvJpoPIPcxUHWup-vsxMH3HWUigZ8"",""🌿 In-Kind!A4:I200""),18,1),"""")"),"")</f>
        <v/>
      </c>
      <c r="B158" s="86" t="str">
        <f>IFERROR(__xludf.DUMMYFUNCTION("IFERROR(INDEX(IMPORTRANGE(""12PgU-zwv8gBrFfxvJpoPIPcxUHWup-vsxMH3HWUigZ8"",""🌿 In-Kind!A4:I200""),18,2),"""")"),"")</f>
        <v/>
      </c>
      <c r="C158" s="96" t="str">
        <f>IFERROR(__xludf.DUMMYFUNCTION("IFERROR(INDEX(IMPORTRANGE(""12PgU-zwv8gBrFfxvJpoPIPcxUHWup-vsxMH3HWUigZ8"",""🌿 In-Kind!A4:I200""),18,3),"""")"),"")</f>
        <v/>
      </c>
      <c r="D158" s="54" t="str">
        <f>IFERROR(__xludf.DUMMYFUNCTION("IFERROR(INDEX(IMPORTRANGE(""12PgU-zwv8gBrFfxvJpoPIPcxUHWup-vsxMH3HWUigZ8"",""🌿 In-Kind!A4:I200""),18,4),"""")"),"")</f>
        <v/>
      </c>
      <c r="E158" s="97">
        <f>IFERROR(__xludf.DUMMYFUNCTION("IFERROR(IFERROR(INDEX(IMPORTRANGE(""12PgU-zwv8gBrFfxvJpoPIPcxUHWup-vsxMH3HWUigZ8"",""🌿 In-Kind!A4:I200""),18,5)*1,0),0)"),0.0)</f>
        <v>0</v>
      </c>
      <c r="F158" s="86" t="str">
        <f>IFERROR(__xludf.DUMMYFUNCTION("IFERROR(INDEX(IMPORTRANGE(""12PgU-zwv8gBrFfxvJpoPIPcxUHWup-vsxMH3HWUigZ8"",""🌿 In-Kind!A4:I200""),18,6),"""")"),"")</f>
        <v/>
      </c>
      <c r="G158" s="92" t="str">
        <f>IFERROR(__xludf.DUMMYFUNCTION("IFERROR(INDEX(IMPORTRANGE(""12PgU-zwv8gBrFfxvJpoPIPcxUHWup-vsxMH3HWUigZ8"",""🌿 In-Kind!A4:I200""),18,9),"""")"),"")</f>
        <v/>
      </c>
      <c r="H158" s="85" t="str">
        <f>IFERROR(__xludf.DUMMYFUNCTION("IFERROR(IF(INDEX(IMPORTRANGE(""12PgU-zwv8gBrFfxvJpoPIPcxUHWup-vsxMH3HWUigZ8"",""🌿 In-Kind!A4:I200""),18,7)="""","""",TEXT(INDEX(IMPORTRANGE(""12PgU-zwv8gBrFfxvJpoPIPcxUHWup-vsxMH3HWUigZ8"",""🌿 In-Kind!A4:I200""),18,7),""DD-MM-YYYY"")),"""")"),"")</f>
        <v/>
      </c>
      <c r="I158" s="86" t="str">
        <f>IFERROR(__xludf.DUMMYFUNCTION("IFERROR(INDEX(IMPORTRANGE(""12PgU-zwv8gBrFfxvJpoPIPcxUHWup-vsxMH3HWUigZ8"",""🌿 In-Kind!A4:I200""),18,8),"""")"),"")</f>
        <v/>
      </c>
      <c r="J158" s="37"/>
      <c r="K158" s="37"/>
      <c r="L158" s="37"/>
      <c r="M158" s="37"/>
      <c r="N158" s="37"/>
    </row>
    <row r="159" ht="18.0" customHeight="1">
      <c r="A159" s="19" t="str">
        <f>IFERROR(__xludf.DUMMYFUNCTION("IFERROR(INDEX(IMPORTRANGE(""12PgU-zwv8gBrFfxvJpoPIPcxUHWup-vsxMH3HWUigZ8"",""🌿 In-Kind!A4:I200""),19,1),"""")"),"")</f>
        <v/>
      </c>
      <c r="B159" s="83" t="str">
        <f>IFERROR(__xludf.DUMMYFUNCTION("IFERROR(INDEX(IMPORTRANGE(""12PgU-zwv8gBrFfxvJpoPIPcxUHWup-vsxMH3HWUigZ8"",""🌿 In-Kind!A4:I200""),19,2),"""")"),"")</f>
        <v/>
      </c>
      <c r="C159" s="94" t="str">
        <f>IFERROR(__xludf.DUMMYFUNCTION("IFERROR(INDEX(IMPORTRANGE(""12PgU-zwv8gBrFfxvJpoPIPcxUHWup-vsxMH3HWUigZ8"",""🌿 In-Kind!A4:I200""),19,3),"""")"),"")</f>
        <v/>
      </c>
      <c r="D159" s="50" t="str">
        <f>IFERROR(__xludf.DUMMYFUNCTION("IFERROR(INDEX(IMPORTRANGE(""12PgU-zwv8gBrFfxvJpoPIPcxUHWup-vsxMH3HWUigZ8"",""🌿 In-Kind!A4:I200""),19,4),"""")"),"")</f>
        <v/>
      </c>
      <c r="E159" s="95">
        <f>IFERROR(__xludf.DUMMYFUNCTION("IFERROR(IFERROR(INDEX(IMPORTRANGE(""12PgU-zwv8gBrFfxvJpoPIPcxUHWup-vsxMH3HWUigZ8"",""🌿 In-Kind!A4:I200""),19,5)*1,0),0)"),0.0)</f>
        <v>0</v>
      </c>
      <c r="F159" s="83" t="str">
        <f>IFERROR(__xludf.DUMMYFUNCTION("IFERROR(INDEX(IMPORTRANGE(""12PgU-zwv8gBrFfxvJpoPIPcxUHWup-vsxMH3HWUigZ8"",""🌿 In-Kind!A4:I200""),19,6),"""")"),"")</f>
        <v/>
      </c>
      <c r="G159" s="89" t="str">
        <f>IFERROR(__xludf.DUMMYFUNCTION("IFERROR(INDEX(IMPORTRANGE(""12PgU-zwv8gBrFfxvJpoPIPcxUHWup-vsxMH3HWUigZ8"",""🌿 In-Kind!A4:I200""),19,9),"""")"),"")</f>
        <v/>
      </c>
      <c r="H159" s="82" t="str">
        <f>IFERROR(__xludf.DUMMYFUNCTION("IFERROR(IF(INDEX(IMPORTRANGE(""12PgU-zwv8gBrFfxvJpoPIPcxUHWup-vsxMH3HWUigZ8"",""🌿 In-Kind!A4:I200""),19,7)="""","""",TEXT(INDEX(IMPORTRANGE(""12PgU-zwv8gBrFfxvJpoPIPcxUHWup-vsxMH3HWUigZ8"",""🌿 In-Kind!A4:I200""),19,7),""DD-MM-YYYY"")),"""")"),"")</f>
        <v/>
      </c>
      <c r="I159" s="83" t="str">
        <f>IFERROR(__xludf.DUMMYFUNCTION("IFERROR(INDEX(IMPORTRANGE(""12PgU-zwv8gBrFfxvJpoPIPcxUHWup-vsxMH3HWUigZ8"",""🌿 In-Kind!A4:I200""),19,8),"""")"),"")</f>
        <v/>
      </c>
      <c r="J159" s="36"/>
      <c r="K159" s="36"/>
      <c r="L159" s="36"/>
      <c r="M159" s="36"/>
      <c r="N159" s="36"/>
    </row>
    <row r="160" ht="18.0" customHeight="1">
      <c r="A160" s="22" t="str">
        <f>IFERROR(__xludf.DUMMYFUNCTION("IFERROR(INDEX(IMPORTRANGE(""12PgU-zwv8gBrFfxvJpoPIPcxUHWup-vsxMH3HWUigZ8"",""🌿 In-Kind!A4:I200""),20,1),"""")"),"")</f>
        <v/>
      </c>
      <c r="B160" s="86" t="str">
        <f>IFERROR(__xludf.DUMMYFUNCTION("IFERROR(INDEX(IMPORTRANGE(""12PgU-zwv8gBrFfxvJpoPIPcxUHWup-vsxMH3HWUigZ8"",""🌿 In-Kind!A4:I200""),20,2),"""")"),"")</f>
        <v/>
      </c>
      <c r="C160" s="96" t="str">
        <f>IFERROR(__xludf.DUMMYFUNCTION("IFERROR(INDEX(IMPORTRANGE(""12PgU-zwv8gBrFfxvJpoPIPcxUHWup-vsxMH3HWUigZ8"",""🌿 In-Kind!A4:I200""),20,3),"""")"),"")</f>
        <v/>
      </c>
      <c r="D160" s="54" t="str">
        <f>IFERROR(__xludf.DUMMYFUNCTION("IFERROR(INDEX(IMPORTRANGE(""12PgU-zwv8gBrFfxvJpoPIPcxUHWup-vsxMH3HWUigZ8"",""🌿 In-Kind!A4:I200""),20,4),"""")"),"")</f>
        <v/>
      </c>
      <c r="E160" s="97">
        <f>IFERROR(__xludf.DUMMYFUNCTION("IFERROR(IFERROR(INDEX(IMPORTRANGE(""12PgU-zwv8gBrFfxvJpoPIPcxUHWup-vsxMH3HWUigZ8"",""🌿 In-Kind!A4:I200""),20,5)*1,0),0)"),0.0)</f>
        <v>0</v>
      </c>
      <c r="F160" s="86" t="str">
        <f>IFERROR(__xludf.DUMMYFUNCTION("IFERROR(INDEX(IMPORTRANGE(""12PgU-zwv8gBrFfxvJpoPIPcxUHWup-vsxMH3HWUigZ8"",""🌿 In-Kind!A4:I200""),20,6),"""")"),"")</f>
        <v/>
      </c>
      <c r="G160" s="92" t="str">
        <f>IFERROR(__xludf.DUMMYFUNCTION("IFERROR(INDEX(IMPORTRANGE(""12PgU-zwv8gBrFfxvJpoPIPcxUHWup-vsxMH3HWUigZ8"",""🌿 In-Kind!A4:I200""),20,9),"""")"),"")</f>
        <v/>
      </c>
      <c r="H160" s="85" t="str">
        <f>IFERROR(__xludf.DUMMYFUNCTION("IFERROR(IF(INDEX(IMPORTRANGE(""12PgU-zwv8gBrFfxvJpoPIPcxUHWup-vsxMH3HWUigZ8"",""🌿 In-Kind!A4:I200""),20,7)="""","""",TEXT(INDEX(IMPORTRANGE(""12PgU-zwv8gBrFfxvJpoPIPcxUHWup-vsxMH3HWUigZ8"",""🌿 In-Kind!A4:I200""),20,7),""DD-MM-YYYY"")),"""")"),"")</f>
        <v/>
      </c>
      <c r="I160" s="86" t="str">
        <f>IFERROR(__xludf.DUMMYFUNCTION("IFERROR(INDEX(IMPORTRANGE(""12PgU-zwv8gBrFfxvJpoPIPcxUHWup-vsxMH3HWUigZ8"",""🌿 In-Kind!A4:I200""),20,8),"""")"),"")</f>
        <v/>
      </c>
      <c r="J160" s="37"/>
      <c r="K160" s="37"/>
      <c r="L160" s="37"/>
      <c r="M160" s="37"/>
      <c r="N160" s="37"/>
    </row>
    <row r="161" ht="19.5" customHeight="1">
      <c r="A161" s="33" t="s">
        <v>118</v>
      </c>
      <c r="B161" s="2"/>
      <c r="C161" s="2"/>
      <c r="D161" s="3"/>
      <c r="E161" s="34">
        <f>SUMPRODUCT((A141:A160&lt;&gt;"")*E141:E160)</f>
        <v>8400</v>
      </c>
      <c r="F161" s="38"/>
      <c r="G161" s="38"/>
      <c r="H161" s="38"/>
      <c r="I161" s="38"/>
      <c r="J161" s="38"/>
      <c r="K161" s="38"/>
      <c r="L161" s="38"/>
      <c r="M161" s="38"/>
      <c r="N161" s="38"/>
    </row>
    <row r="162" ht="6.0" customHeight="1"/>
    <row r="163" ht="18.0" customHeight="1">
      <c r="A163" s="51" t="s">
        <v>119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6:C136"/>
    <mergeCell ref="A137:C137"/>
    <mergeCell ref="A139:N139"/>
    <mergeCell ref="A163:N163"/>
    <mergeCell ref="B129:C129"/>
    <mergeCell ref="B130:C130"/>
    <mergeCell ref="B131:C131"/>
    <mergeCell ref="B132:C132"/>
    <mergeCell ref="B133:C133"/>
    <mergeCell ref="B134:C134"/>
    <mergeCell ref="B135:C135"/>
    <mergeCell ref="A161:D161"/>
    <mergeCell ref="D9:N9"/>
    <mergeCell ref="D10:N10"/>
    <mergeCell ref="D11:N11"/>
    <mergeCell ref="D12:N12"/>
    <mergeCell ref="D13:N13"/>
    <mergeCell ref="D14:N14"/>
    <mergeCell ref="D15:N15"/>
    <mergeCell ref="D16:N16"/>
    <mergeCell ref="A1:N1"/>
    <mergeCell ref="A2:N2"/>
    <mergeCell ref="A4:N4"/>
    <mergeCell ref="B5:C5"/>
    <mergeCell ref="E5:N5"/>
    <mergeCell ref="E6:N6"/>
    <mergeCell ref="A8:N8"/>
    <mergeCell ref="A15:C15"/>
    <mergeCell ref="A16:C16"/>
    <mergeCell ref="A18:N18"/>
    <mergeCell ref="A31:N31"/>
    <mergeCell ref="A39:N39"/>
    <mergeCell ref="B6:C6"/>
    <mergeCell ref="A9:C9"/>
    <mergeCell ref="A10:C10"/>
    <mergeCell ref="A11:C11"/>
    <mergeCell ref="A12:C12"/>
    <mergeCell ref="A13:C13"/>
    <mergeCell ref="A14:C14"/>
    <mergeCell ref="A29:C29"/>
    <mergeCell ref="B32:C32"/>
    <mergeCell ref="B33:C33"/>
    <mergeCell ref="B34:C34"/>
    <mergeCell ref="B35:C35"/>
    <mergeCell ref="B36:C36"/>
    <mergeCell ref="A37:C37"/>
    <mergeCell ref="A71:E71"/>
    <mergeCell ref="A73:N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A83:C83"/>
    <mergeCell ref="A85:N85"/>
    <mergeCell ref="B86:C86"/>
  </mergeCells>
  <hyperlinks>
    <hyperlink r:id="rId1" ref="A163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3" width="18.0"/>
    <col customWidth="1" min="4" max="4" width="28.0"/>
    <col customWidth="1" min="5" max="6" width="16.0"/>
    <col customWidth="1" min="7" max="7" width="14.0"/>
    <col customWidth="1" min="8" max="8" width="16.0"/>
    <col customWidth="1" min="9" max="9" width="22.0"/>
    <col customWidth="1" min="10" max="10" width="16.0"/>
    <col customWidth="1" min="11" max="11" width="22.0"/>
    <col customWidth="1" min="12" max="12" width="14.0"/>
    <col customWidth="1" min="13" max="13" width="22.0"/>
    <col customWidth="1" min="14" max="14" width="16.0"/>
    <col customWidth="1" min="15" max="26" width="8.71"/>
  </cols>
  <sheetData>
    <row r="1" ht="30.0" customHeight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62" t="s">
        <v>121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6.0" customHeight="1"/>
    <row r="4" ht="19.5" customHeight="1">
      <c r="A4" s="5" t="s">
        <v>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8.0" customHeight="1">
      <c r="A5" s="17" t="s">
        <v>14</v>
      </c>
      <c r="B5" s="18" t="s">
        <v>79</v>
      </c>
      <c r="C5" s="3"/>
      <c r="D5" s="17" t="s">
        <v>80</v>
      </c>
      <c r="E5" s="18" t="s">
        <v>81</v>
      </c>
      <c r="F5" s="2"/>
      <c r="G5" s="2"/>
      <c r="H5" s="2"/>
      <c r="I5" s="2"/>
      <c r="J5" s="2"/>
      <c r="K5" s="2"/>
      <c r="L5" s="2"/>
      <c r="M5" s="2"/>
      <c r="N5" s="3"/>
    </row>
    <row r="6" ht="18.0" customHeight="1">
      <c r="A6" s="63">
        <v>1.0</v>
      </c>
      <c r="B6" s="64"/>
      <c r="C6" s="3"/>
      <c r="D6" s="65"/>
      <c r="E6" s="64"/>
      <c r="F6" s="2"/>
      <c r="G6" s="2"/>
      <c r="H6" s="2"/>
      <c r="I6" s="2"/>
      <c r="J6" s="2"/>
      <c r="K6" s="2"/>
      <c r="L6" s="2"/>
      <c r="M6" s="2"/>
      <c r="N6" s="3"/>
    </row>
    <row r="7" ht="6.0" customHeight="1"/>
    <row r="8" ht="19.5" customHeight="1">
      <c r="A8" s="5" t="s">
        <v>82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 ht="19.5" customHeight="1">
      <c r="A9" s="10" t="s">
        <v>83</v>
      </c>
      <c r="B9" s="2"/>
      <c r="C9" s="3"/>
      <c r="D9" s="66">
        <f>SUM(D20:D28)</f>
        <v>0</v>
      </c>
      <c r="E9" s="2"/>
      <c r="F9" s="2"/>
      <c r="G9" s="2"/>
      <c r="H9" s="2"/>
      <c r="I9" s="2"/>
      <c r="J9" s="2"/>
      <c r="K9" s="2"/>
      <c r="L9" s="2"/>
      <c r="M9" s="2"/>
      <c r="N9" s="3"/>
    </row>
    <row r="10" ht="19.5" customHeight="1">
      <c r="A10" s="12" t="s">
        <v>84</v>
      </c>
      <c r="B10" s="2"/>
      <c r="C10" s="3"/>
      <c r="D10" s="67">
        <f>IFERROR(__xludf.DUMMYFUNCTION("IFERROR(INDEX(QUERY(IMPORTRANGE(""1wF8uimz-gnzzmqfjHb8Ua7fudqcoq5SrFyToq2B2IO0"",""💰 Donations!A4:D200""),""SELECT SUM(Col3) WHERE Col1 LIKE '2027/D/%' LABEL SUM(Col3) ''""),1),0)"),0.0)</f>
        <v>0</v>
      </c>
      <c r="E10" s="2"/>
      <c r="F10" s="2"/>
      <c r="G10" s="2"/>
      <c r="H10" s="2"/>
      <c r="I10" s="2"/>
      <c r="J10" s="2"/>
      <c r="K10" s="2"/>
      <c r="L10" s="2"/>
      <c r="M10" s="2"/>
      <c r="N10" s="3"/>
    </row>
    <row r="11" ht="19.5" customHeight="1">
      <c r="A11" s="10" t="s">
        <v>85</v>
      </c>
      <c r="B11" s="2"/>
      <c r="C11" s="3"/>
      <c r="D11" s="68">
        <f>IFERROR(__xludf.DUMMYFUNCTION("IFERROR(INDEX(QUERY(IMPORTRANGE(""1wF8uimz-gnzzmqfjHb8Ua7fudqcoq5SrFyToq2B2IO0"",""💰 Donations!A4:D200""),""SELECT SUM(Col4) WHERE Col1 LIKE '2027/D/%' LABEL SUM(Col4) ''""),1),0)"),0.0)</f>
        <v>0</v>
      </c>
      <c r="E11" s="2"/>
      <c r="F11" s="2"/>
      <c r="G11" s="2"/>
      <c r="H11" s="2"/>
      <c r="I11" s="2"/>
      <c r="J11" s="2"/>
      <c r="K11" s="2"/>
      <c r="L11" s="2"/>
      <c r="M11" s="2"/>
      <c r="N11" s="3"/>
    </row>
    <row r="12" ht="19.5" customHeight="1">
      <c r="A12" s="12" t="s">
        <v>86</v>
      </c>
      <c r="B12" s="2"/>
      <c r="C12" s="3"/>
      <c r="D12" s="67">
        <f>D10-D11</f>
        <v>0</v>
      </c>
      <c r="E12" s="2"/>
      <c r="F12" s="2"/>
      <c r="G12" s="2"/>
      <c r="H12" s="2"/>
      <c r="I12" s="2"/>
      <c r="J12" s="2"/>
      <c r="K12" s="2"/>
      <c r="L12" s="2"/>
      <c r="M12" s="2"/>
      <c r="N12" s="3"/>
    </row>
    <row r="13" ht="19.5" customHeight="1">
      <c r="A13" s="10" t="s">
        <v>87</v>
      </c>
      <c r="B13" s="2"/>
      <c r="C13" s="3"/>
      <c r="D13" s="69">
        <f>IFERROR(__xludf.DUMMYFUNCTION("IFERROR(INDEX(QUERY(IMPORTRANGE(""1wF8uimz-gnzzmqfjHb8Ua7fudqcoq5SrFyToq2B2IO0"",""🌿 In-Kind!A4:E200""),""SELECT SUM(Col5) WHERE Col1 LIKE '2027/IK/%' LABEL SUM(Col5) ''""),1),0)"),0.0)</f>
        <v>0</v>
      </c>
      <c r="E13" s="2"/>
      <c r="F13" s="2"/>
      <c r="G13" s="2"/>
      <c r="H13" s="2"/>
      <c r="I13" s="2"/>
      <c r="J13" s="2"/>
      <c r="K13" s="2"/>
      <c r="L13" s="2"/>
      <c r="M13" s="2"/>
      <c r="N13" s="3"/>
    </row>
    <row r="14" ht="19.5" customHeight="1">
      <c r="A14" s="12" t="s">
        <v>88</v>
      </c>
      <c r="B14" s="2"/>
      <c r="C14" s="3"/>
      <c r="D14" s="66">
        <f>IFERROR(__xludf.DUMMYFUNCTION("IFERROR(INDEX(QUERY(IMPORTRANGE(""1wF8uimz-gnzzmqfjHb8Ua7fudqcoq5SrFyToq2B2IO0"",""💸 Expenses!A5:F200""),""SELECT SUM(Col6) WHERE Col1 LIKE '2027/EX/%' LABEL SUM(Col6) ''""),1),0)"),0.0)</f>
        <v>0</v>
      </c>
      <c r="E14" s="2"/>
      <c r="F14" s="2"/>
      <c r="G14" s="2"/>
      <c r="H14" s="2"/>
      <c r="I14" s="2"/>
      <c r="J14" s="2"/>
      <c r="K14" s="2"/>
      <c r="L14" s="2"/>
      <c r="M14" s="2"/>
      <c r="N14" s="3"/>
    </row>
    <row r="15" ht="19.5" customHeight="1">
      <c r="A15" s="10" t="s">
        <v>89</v>
      </c>
      <c r="B15" s="2"/>
      <c r="C15" s="3"/>
      <c r="D15" s="66">
        <f>D9-D14</f>
        <v>0</v>
      </c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19.5" customHeight="1">
      <c r="A16" s="12" t="s">
        <v>90</v>
      </c>
      <c r="B16" s="2"/>
      <c r="C16" s="3"/>
      <c r="D16" s="70">
        <f>IFERROR(__xludf.DUMMYFUNCTION("IFERROR(INDEX(QUERY(IMPORTRANGE(""1wF8uimz-gnzzmqfjHb8Ua7fudqcoq5SrFyToq2B2IO0"",""💰 Donations!A4:D200""),""SELECT COUNT(Col1) WHERE Col1 LIKE '2027/D/%' LABEL COUNT(Col1) ''""),1),0)"),1.0)</f>
        <v>1</v>
      </c>
      <c r="E16" s="2"/>
      <c r="F16" s="2"/>
      <c r="G16" s="2"/>
      <c r="H16" s="2"/>
      <c r="I16" s="2"/>
      <c r="J16" s="2"/>
      <c r="K16" s="2"/>
      <c r="L16" s="2"/>
      <c r="M16" s="2"/>
      <c r="N16" s="3"/>
    </row>
    <row r="17" ht="6.0" customHeight="1"/>
    <row r="18" ht="19.5" customHeight="1">
      <c r="A18" s="5" t="s">
        <v>91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ht="18.0" customHeight="1">
      <c r="A19" s="17" t="s">
        <v>14</v>
      </c>
      <c r="B19" s="17" t="s">
        <v>15</v>
      </c>
      <c r="C19" s="17" t="s">
        <v>92</v>
      </c>
      <c r="D19" s="17" t="s">
        <v>16</v>
      </c>
      <c r="E19" s="17" t="s">
        <v>17</v>
      </c>
      <c r="F19" s="17" t="s">
        <v>18</v>
      </c>
    </row>
    <row r="20" ht="18.0" customHeight="1">
      <c r="A20" s="19">
        <v>1.0</v>
      </c>
      <c r="B20" s="71" t="s">
        <v>19</v>
      </c>
      <c r="C20" s="72" t="s">
        <v>32</v>
      </c>
      <c r="D20" s="20">
        <f>IFERROR(__xludf.DUMMYFUNCTION("IFERROR(INDEX(QUERY(IMPORTRANGE(""1wF8uimz-gnzzmqfjHb8Ua7fudqcoq5SrFyToq2B2IO0"",""💰 Budget!C5:E200""),""SELECT SUM(Col3) WHERE Col1='Puja &amp; Rituals' LABEL SUM(Col3) ''""),1),0)"),0.0)</f>
        <v>0</v>
      </c>
      <c r="E20" s="20">
        <f>IFERROR(__xludf.DUMMYFUNCTION("IFERROR(INDEX(QUERY(IMPORTRANGE(""1wF8uimz-gnzzmqfjHb8Ua7fudqcoq5SrFyToq2B2IO0"",""💸 Expenses!E5:F200""),""SELECT SUM(Col2) WHERE Col1='Puja &amp; Rituals' LABEL SUM(Col2) ''""),1),0)"),0.0)</f>
        <v>0</v>
      </c>
      <c r="F20" s="21">
        <f t="shared" ref="F20:F29" si="1">D20-E20</f>
        <v>0</v>
      </c>
      <c r="G20" s="36"/>
      <c r="H20" s="36"/>
      <c r="I20" s="36"/>
      <c r="J20" s="36"/>
      <c r="K20" s="36"/>
      <c r="L20" s="36"/>
      <c r="M20" s="36"/>
      <c r="N20" s="36"/>
    </row>
    <row r="21" ht="18.0" customHeight="1">
      <c r="A21" s="22">
        <v>2.0</v>
      </c>
      <c r="B21" s="73" t="s">
        <v>20</v>
      </c>
      <c r="C21" s="74" t="s">
        <v>32</v>
      </c>
      <c r="D21" s="23">
        <f>IFERROR(__xludf.DUMMYFUNCTION("IFERROR(INDEX(QUERY(IMPORTRANGE(""1wF8uimz-gnzzmqfjHb8Ua7fudqcoq5SrFyToq2B2IO0"",""💰 Budget!C5:E200""),""SELECT SUM(Col3) WHERE Col1='Decorations &amp; Flowers' LABEL SUM(Col3) ''""),1),0)"),0.0)</f>
        <v>0</v>
      </c>
      <c r="E21" s="23">
        <f>IFERROR(__xludf.DUMMYFUNCTION("IFERROR(INDEX(QUERY(IMPORTRANGE(""1wF8uimz-gnzzmqfjHb8Ua7fudqcoq5SrFyToq2B2IO0"",""💸 Expenses!E5:F200""),""SELECT SUM(Col2) WHERE Col1='Decorations &amp; Flowers' LABEL SUM(Col2) ''""),1),0)"),0.0)</f>
        <v>0</v>
      </c>
      <c r="F21" s="24">
        <f t="shared" si="1"/>
        <v>0</v>
      </c>
      <c r="G21" s="37"/>
      <c r="H21" s="37"/>
      <c r="I21" s="37"/>
      <c r="J21" s="37"/>
      <c r="K21" s="37"/>
      <c r="L21" s="37"/>
      <c r="M21" s="37"/>
      <c r="N21" s="37"/>
    </row>
    <row r="22" ht="18.0" customHeight="1">
      <c r="A22" s="19">
        <v>3.0</v>
      </c>
      <c r="B22" s="71" t="s">
        <v>21</v>
      </c>
      <c r="C22" s="72" t="s">
        <v>32</v>
      </c>
      <c r="D22" s="20">
        <f>IFERROR(__xludf.DUMMYFUNCTION("IFERROR(INDEX(QUERY(IMPORTRANGE(""1wF8uimz-gnzzmqfjHb8Ua7fudqcoq5SrFyToq2B2IO0"",""💰 Budget!C5:E200""),""SELECT SUM(Col3) WHERE Col1='Food &amp; Catering' LABEL SUM(Col3) ''""),1),0)"),0.0)</f>
        <v>0</v>
      </c>
      <c r="E22" s="20">
        <f>IFERROR(__xludf.DUMMYFUNCTION("IFERROR(INDEX(QUERY(IMPORTRANGE(""1wF8uimz-gnzzmqfjHb8Ua7fudqcoq5SrFyToq2B2IO0"",""💸 Expenses!E5:F200""),""SELECT SUM(Col2) WHERE Col1='Food &amp; Catering' LABEL SUM(Col2) ''""),1),0)"),0.0)</f>
        <v>0</v>
      </c>
      <c r="F22" s="21">
        <f t="shared" si="1"/>
        <v>0</v>
      </c>
      <c r="G22" s="36"/>
      <c r="H22" s="36"/>
      <c r="I22" s="36"/>
      <c r="J22" s="36"/>
      <c r="K22" s="36"/>
      <c r="L22" s="36"/>
      <c r="M22" s="36"/>
      <c r="N22" s="36"/>
    </row>
    <row r="23" ht="18.0" customHeight="1">
      <c r="A23" s="22">
        <v>4.0</v>
      </c>
      <c r="B23" s="73" t="s">
        <v>22</v>
      </c>
      <c r="C23" s="74" t="s">
        <v>32</v>
      </c>
      <c r="D23" s="23">
        <f>IFERROR(__xludf.DUMMYFUNCTION("IFERROR(INDEX(QUERY(IMPORTRANGE(""1wF8uimz-gnzzmqfjHb8Ua7fudqcoq5SrFyToq2B2IO0"",""💰 Budget!C5:E200""),""SELECT SUM(Col3) WHERE Col1='Infrastructure &amp; Logistics' LABEL SUM(Col3) ''""),1),0)"),0.0)</f>
        <v>0</v>
      </c>
      <c r="E23" s="23">
        <f>IFERROR(__xludf.DUMMYFUNCTION("IFERROR(INDEX(QUERY(IMPORTRANGE(""1wF8uimz-gnzzmqfjHb8Ua7fudqcoq5SrFyToq2B2IO0"",""💸 Expenses!E5:F200""),""SELECT SUM(Col2) WHERE Col1='Infrastructure &amp; Logistics' LABEL SUM(Col2) ''""),1),0)"),0.0)</f>
        <v>0</v>
      </c>
      <c r="F23" s="24">
        <f t="shared" si="1"/>
        <v>0</v>
      </c>
      <c r="G23" s="37"/>
      <c r="H23" s="37"/>
      <c r="I23" s="37"/>
      <c r="J23" s="37"/>
      <c r="K23" s="37"/>
      <c r="L23" s="37"/>
      <c r="M23" s="37"/>
      <c r="N23" s="37"/>
    </row>
    <row r="24" ht="18.0" customHeight="1">
      <c r="A24" s="19">
        <v>5.0</v>
      </c>
      <c r="B24" s="71" t="s">
        <v>23</v>
      </c>
      <c r="C24" s="72" t="s">
        <v>32</v>
      </c>
      <c r="D24" s="20">
        <f>IFERROR(__xludf.DUMMYFUNCTION("IFERROR(INDEX(QUERY(IMPORTRANGE(""1wF8uimz-gnzzmqfjHb8Ua7fudqcoq5SrFyToq2B2IO0"",""💰 Budget!C5:E200""),""SELECT SUM(Col3) WHERE Col1='Miscellaneous' LABEL SUM(Col3) ''""),1),0)"),0.0)</f>
        <v>0</v>
      </c>
      <c r="E24" s="20">
        <f>IFERROR(__xludf.DUMMYFUNCTION("IFERROR(INDEX(QUERY(IMPORTRANGE(""1wF8uimz-gnzzmqfjHb8Ua7fudqcoq5SrFyToq2B2IO0"",""💸 Expenses!E5:F200""),""SELECT SUM(Col2) WHERE Col1='Miscellaneous' LABEL SUM(Col2) ''""),1),0)"),0.0)</f>
        <v>0</v>
      </c>
      <c r="F24" s="21">
        <f t="shared" si="1"/>
        <v>0</v>
      </c>
      <c r="G24" s="36"/>
      <c r="H24" s="36"/>
      <c r="I24" s="36"/>
      <c r="J24" s="36"/>
      <c r="K24" s="36"/>
      <c r="L24" s="36"/>
      <c r="M24" s="36"/>
      <c r="N24" s="36"/>
    </row>
    <row r="25" ht="18.0" customHeight="1">
      <c r="A25" s="25">
        <v>6.0</v>
      </c>
      <c r="B25" s="75" t="s">
        <v>93</v>
      </c>
      <c r="C25" s="76" t="s">
        <v>33</v>
      </c>
      <c r="D25" s="27">
        <f>IFERROR(__xludf.DUMMYFUNCTION("IFERROR(INDEX(QUERY(IMPORTRANGE(""1wF8uimz-gnzzmqfjHb8Ua7fudqcoq5SrFyToq2B2IO0"",""💰 Budget!C5:E200""),""SELECT SUM(Col3) WHERE Col1='Materials' LABEL SUM(Col3) ''""),1),0)"),0.0)</f>
        <v>0</v>
      </c>
      <c r="E25" s="27">
        <f>IFERROR(__xludf.DUMMYFUNCTION("IFERROR(INDEX(QUERY(IMPORTRANGE(""1wF8uimz-gnzzmqfjHb8Ua7fudqcoq5SrFyToq2B2IO0"",""💸 Expenses!E5:F200""),""SELECT SUM(Col2) WHERE Col1='Materials' LABEL SUM(Col2) ''""),1),0)"),0.0)</f>
        <v>0</v>
      </c>
      <c r="F25" s="28">
        <f t="shared" si="1"/>
        <v>0</v>
      </c>
      <c r="G25" s="77"/>
      <c r="H25" s="77"/>
      <c r="I25" s="77"/>
      <c r="J25" s="77"/>
      <c r="K25" s="77"/>
      <c r="L25" s="77"/>
      <c r="M25" s="77"/>
      <c r="N25" s="77"/>
    </row>
    <row r="26" ht="18.0" customHeight="1">
      <c r="A26" s="29">
        <v>7.0</v>
      </c>
      <c r="B26" s="78" t="s">
        <v>94</v>
      </c>
      <c r="C26" s="79" t="s">
        <v>33</v>
      </c>
      <c r="D26" s="31">
        <f>IFERROR(__xludf.DUMMYFUNCTION("IFERROR(INDEX(QUERY(IMPORTRANGE(""1wF8uimz-gnzzmqfjHb8Ua7fudqcoq5SrFyToq2B2IO0"",""💰 Budget!C5:E200""),""SELECT SUM(Col3) WHERE Col1='Labour' LABEL SUM(Col3) ''""),1),0)"),0.0)</f>
        <v>0</v>
      </c>
      <c r="E26" s="31">
        <f>IFERROR(__xludf.DUMMYFUNCTION("IFERROR(INDEX(QUERY(IMPORTRANGE(""1wF8uimz-gnzzmqfjHb8Ua7fudqcoq5SrFyToq2B2IO0"",""💸 Expenses!E5:F200""),""SELECT SUM(Col2) WHERE Col1='Labour' LABEL SUM(Col2) ''""),1),0)"),0.0)</f>
        <v>0</v>
      </c>
      <c r="F26" s="32">
        <f t="shared" si="1"/>
        <v>0</v>
      </c>
      <c r="G26" s="80"/>
      <c r="H26" s="80"/>
      <c r="I26" s="80"/>
      <c r="J26" s="80"/>
      <c r="K26" s="80"/>
      <c r="L26" s="80"/>
      <c r="M26" s="80"/>
      <c r="N26" s="80"/>
    </row>
    <row r="27" ht="18.0" customHeight="1">
      <c r="A27" s="25">
        <v>8.0</v>
      </c>
      <c r="B27" s="75" t="s">
        <v>95</v>
      </c>
      <c r="C27" s="76" t="s">
        <v>33</v>
      </c>
      <c r="D27" s="27">
        <f>IFERROR(__xludf.DUMMYFUNCTION("IFERROR(INDEX(QUERY(IMPORTRANGE(""1wF8uimz-gnzzmqfjHb8Ua7fudqcoq5SrFyToq2B2IO0"",""💰 Budget!C5:E200""),""SELECT SUM(Col3) WHERE Col1='Transport' LABEL SUM(Col3) ''""),1),0)"),0.0)</f>
        <v>0</v>
      </c>
      <c r="E27" s="27">
        <f>IFERROR(__xludf.DUMMYFUNCTION("IFERROR(INDEX(QUERY(IMPORTRANGE(""1wF8uimz-gnzzmqfjHb8Ua7fudqcoq5SrFyToq2B2IO0"",""💸 Expenses!E5:F200""),""SELECT SUM(Col2) WHERE Col1='Transport' LABEL SUM(Col2) ''""),1),0)"),0.0)</f>
        <v>0</v>
      </c>
      <c r="F27" s="28">
        <f t="shared" si="1"/>
        <v>0</v>
      </c>
      <c r="G27" s="77"/>
      <c r="H27" s="77"/>
      <c r="I27" s="77"/>
      <c r="J27" s="77"/>
      <c r="K27" s="77"/>
      <c r="L27" s="77"/>
      <c r="M27" s="77"/>
      <c r="N27" s="77"/>
    </row>
    <row r="28" ht="18.0" customHeight="1">
      <c r="A28" s="29">
        <v>9.0</v>
      </c>
      <c r="B28" s="78" t="s">
        <v>96</v>
      </c>
      <c r="C28" s="79" t="s">
        <v>33</v>
      </c>
      <c r="D28" s="31">
        <f>IFERROR(__xludf.DUMMYFUNCTION("IFERROR(INDEX(QUERY(IMPORTRANGE(""1wF8uimz-gnzzmqfjHb8Ua7fudqcoq5SrFyToq2B2IO0"",""💰 Budget!C5:E200""),""SELECT SUM(Col3) WHERE Col1='Food' LABEL SUM(Col3) ''""),1),0)"),0.0)</f>
        <v>0</v>
      </c>
      <c r="E28" s="31">
        <f>IFERROR(__xludf.DUMMYFUNCTION("IFERROR(INDEX(QUERY(IMPORTRANGE(""1wF8uimz-gnzzmqfjHb8Ua7fudqcoq5SrFyToq2B2IO0"",""💸 Expenses!E5:F200""),""SELECT SUM(Col2) WHERE Col1='Food' LABEL SUM(Col2) ''""),1),0)"),0.0)</f>
        <v>0</v>
      </c>
      <c r="F28" s="32">
        <f t="shared" si="1"/>
        <v>0</v>
      </c>
      <c r="G28" s="80"/>
      <c r="H28" s="80"/>
      <c r="I28" s="80"/>
      <c r="J28" s="80"/>
      <c r="K28" s="80"/>
      <c r="L28" s="80"/>
      <c r="M28" s="80"/>
      <c r="N28" s="80"/>
    </row>
    <row r="29" ht="19.5" customHeight="1">
      <c r="A29" s="33" t="s">
        <v>97</v>
      </c>
      <c r="B29" s="2"/>
      <c r="C29" s="3"/>
      <c r="D29" s="34">
        <f t="shared" ref="D29:E29" si="2">SUM(D20:D28)</f>
        <v>0</v>
      </c>
      <c r="E29" s="34">
        <f t="shared" si="2"/>
        <v>0</v>
      </c>
      <c r="F29" s="34">
        <f t="shared" si="1"/>
        <v>0</v>
      </c>
      <c r="G29" s="38"/>
      <c r="H29" s="38"/>
      <c r="I29" s="38"/>
      <c r="J29" s="38"/>
      <c r="K29" s="38"/>
      <c r="L29" s="38"/>
      <c r="M29" s="38"/>
      <c r="N29" s="38"/>
    </row>
    <row r="30" ht="3.0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</row>
    <row r="31" ht="19.5" customHeight="1">
      <c r="A31" s="35" t="s">
        <v>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</row>
    <row r="32" ht="18.0" customHeight="1">
      <c r="A32" s="17" t="s">
        <v>14</v>
      </c>
      <c r="B32" s="18" t="s">
        <v>30</v>
      </c>
      <c r="C32" s="3"/>
      <c r="D32" s="17" t="s">
        <v>31</v>
      </c>
    </row>
    <row r="33" ht="18.0" customHeight="1">
      <c r="A33" s="19">
        <v>1.0</v>
      </c>
      <c r="B33" s="10" t="s">
        <v>32</v>
      </c>
      <c r="C33" s="3"/>
      <c r="D33" s="20">
        <f>IFERROR(__xludf.DUMMYFUNCTION("IFERROR(INDEX(QUERY(IMPORTRANGE(""1wF8uimz-gnzzmqfjHb8Ua7fudqcoq5SrFyToq2B2IO0"",""💸 Expenses!F5:J200""),""SELECT SUM(Col1) WHERE Col5='Aadi Festival' LABEL SUM(Col1) ''""),1),0)"),0.0)</f>
        <v>0</v>
      </c>
      <c r="E33" s="36"/>
      <c r="F33" s="36"/>
      <c r="G33" s="36"/>
      <c r="H33" s="36"/>
    </row>
    <row r="34" ht="18.0" customHeight="1">
      <c r="A34" s="22">
        <v>2.0</v>
      </c>
      <c r="B34" s="12" t="s">
        <v>33</v>
      </c>
      <c r="C34" s="3"/>
      <c r="D34" s="23">
        <f>IFERROR(__xludf.DUMMYFUNCTION("IFERROR(INDEX(QUERY(IMPORTRANGE(""1wF8uimz-gnzzmqfjHb8Ua7fudqcoq5SrFyToq2B2IO0"",""💸 Expenses!F5:J200""),""SELECT SUM(Col1) WHERE Col5='Temple Development' LABEL SUM(Col1) ''""),1),0)"),0.0)</f>
        <v>0</v>
      </c>
      <c r="E34" s="37"/>
      <c r="F34" s="37"/>
      <c r="G34" s="37"/>
      <c r="H34" s="37"/>
    </row>
    <row r="35" ht="18.0" customHeight="1">
      <c r="A35" s="19">
        <v>3.0</v>
      </c>
      <c r="B35" s="10" t="s">
        <v>34</v>
      </c>
      <c r="C35" s="3"/>
      <c r="D35" s="20">
        <f>IFERROR(__xludf.DUMMYFUNCTION("IFERROR(INDEX(QUERY(IMPORTRANGE(""1wF8uimz-gnzzmqfjHb8Ua7fudqcoq5SrFyToq2B2IO0"",""💸 Expenses!F5:J200""),""SELECT SUM(Col1) WHERE Col5='Temple Operations' LABEL SUM(Col1) ''""),1),0)"),0.0)</f>
        <v>0</v>
      </c>
      <c r="E35" s="36"/>
      <c r="F35" s="36"/>
      <c r="G35" s="36"/>
      <c r="H35" s="36"/>
    </row>
    <row r="36" ht="18.0" customHeight="1">
      <c r="A36" s="22">
        <v>4.0</v>
      </c>
      <c r="B36" s="12" t="s">
        <v>35</v>
      </c>
      <c r="C36" s="3"/>
      <c r="D36" s="23">
        <f>IFERROR(__xludf.DUMMYFUNCTION("IFERROR(INDEX(QUERY(IMPORTRANGE(""1wF8uimz-gnzzmqfjHb8Ua7fudqcoq5SrFyToq2B2IO0"",""💸 Expenses!F5:J200""),""SELECT SUM(Col1) WHERE Col5='Others' LABEL SUM(Col1) ''""),1),0)"),0.0)</f>
        <v>0</v>
      </c>
      <c r="E36" s="37"/>
      <c r="F36" s="37"/>
      <c r="G36" s="37"/>
      <c r="H36" s="37"/>
    </row>
    <row r="37" ht="19.5" customHeight="1">
      <c r="A37" s="33" t="s">
        <v>28</v>
      </c>
      <c r="B37" s="2"/>
      <c r="C37" s="3"/>
      <c r="D37" s="34">
        <f>SUM(D33:D36)</f>
        <v>0</v>
      </c>
      <c r="E37" s="38"/>
      <c r="F37" s="38"/>
      <c r="G37" s="38"/>
      <c r="H37" s="38"/>
    </row>
    <row r="38" ht="6.0" customHeight="1"/>
    <row r="39" ht="19.5" customHeight="1">
      <c r="A39" s="5" t="s">
        <v>98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</row>
    <row r="40" ht="18.0" customHeight="1">
      <c r="A40" s="17" t="s">
        <v>14</v>
      </c>
      <c r="B40" s="17" t="s">
        <v>80</v>
      </c>
      <c r="C40" s="17" t="s">
        <v>99</v>
      </c>
      <c r="D40" s="17" t="s">
        <v>100</v>
      </c>
      <c r="E40" s="17" t="s">
        <v>15</v>
      </c>
      <c r="F40" s="17" t="s">
        <v>49</v>
      </c>
      <c r="G40" s="17" t="s">
        <v>101</v>
      </c>
      <c r="H40" s="17" t="s">
        <v>102</v>
      </c>
      <c r="I40" s="17" t="s">
        <v>103</v>
      </c>
      <c r="J40" s="17" t="s">
        <v>57</v>
      </c>
    </row>
    <row r="41" ht="18.0" customHeight="1">
      <c r="A41" s="50" t="str">
        <f>IFERROR(__xludf.DUMMYFUNCTION("IFERROR(INDEX(IMPORTRANGE(""1wF8uimz-gnzzmqfjHb8Ua7fudqcoq5SrFyToq2B2IO0"",""💸 Expenses!A5:J200""),1,1),"""")"),"2027/EX/1")</f>
        <v>2027/EX/1</v>
      </c>
      <c r="B41" s="82" t="str">
        <f>IFERROR(__xludf.DUMMYFUNCTION("IFERROR(IF(INDEX(IMPORTRANGE(""1wF8uimz-gnzzmqfjHb8Ua7fudqcoq5SrFyToq2B2IO0"",""💸 Expenses!A5:J200""),1,2)="""","""",TEXT(INDEX(IMPORTRANGE(""1wF8uimz-gnzzmqfjHb8Ua7fudqcoq5SrFyToq2B2IO0"",""💸 Expenses!A5:J200""),1,2),""DD-MM-YYYY"")),"""")"),"25-05-26")</f>
        <v>25-05-26</v>
      </c>
      <c r="C41" s="83" t="str">
        <f>IFERROR(__xludf.DUMMYFUNCTION("IFERROR(INDEX(IMPORTRANGE(""1wF8uimz-gnzzmqfjHb8Ua7fudqcoq5SrFyToq2B2IO0"",""💸 Expenses!A5:J200""),1,3),"""")"),"Thimiri Press")</f>
        <v>Thimiri Press</v>
      </c>
      <c r="D41" s="83" t="str">
        <f>IFERROR(__xludf.DUMMYFUNCTION("IFERROR(INDEX(IMPORTRANGE(""1wF8uimz-gnzzmqfjHb8Ua7fudqcoq5SrFyToq2B2IO0"",""💸 Expenses!A5:J200""),1,4),"""")"),"Card Printing")</f>
        <v>Card Printing</v>
      </c>
      <c r="E41" s="83" t="str">
        <f>IFERROR(__xludf.DUMMYFUNCTION("IFERROR(INDEX(IMPORTRANGE(""1wF8uimz-gnzzmqfjHb8Ua7fudqcoq5SrFyToq2B2IO0"",""💸 Expenses!A5:J200""),1,5),"""")"),"Miscellaneous")</f>
        <v>Miscellaneous</v>
      </c>
      <c r="F41" s="84">
        <f>IFERROR(__xludf.DUMMYFUNCTION("IFERROR(IFERROR(INDEX(IMPORTRANGE(""1wF8uimz-gnzzmqfjHb8Ua7fudqcoq5SrFyToq2B2IO0"",""💸 Expenses!A5:J200""),1,6)*1,0),0)"),0.0)</f>
        <v>0</v>
      </c>
      <c r="G41" s="83" t="str">
        <f>IFERROR(__xludf.DUMMYFUNCTION("IFERROR(INDEX(IMPORTRANGE(""1wF8uimz-gnzzmqfjHb8Ua7fudqcoq5SrFyToq2B2IO0"",""💸 Expenses!A5:J200""),1,7),"""")"),"UPI")</f>
        <v>UPI</v>
      </c>
      <c r="H41" s="83" t="str">
        <f>IFERROR(__xludf.DUMMYFUNCTION("IFERROR(INDEX(IMPORTRANGE(""1wF8uimz-gnzzmqfjHb8Ua7fudqcoq5SrFyToq2B2IO0"",""💸 Expenses!A5:J200""),1,8),"""")"),"Sunil Kumar")</f>
        <v>Sunil Kumar</v>
      </c>
      <c r="I41" s="83" t="str">
        <f>IFERROR(__xludf.DUMMYFUNCTION("IFERROR(INDEX(IMPORTRANGE(""1wF8uimz-gnzzmqfjHb8Ua7fudqcoq5SrFyToq2B2IO0"",""💸 Expenses!A5:J200""),1,9),"""")"),"")</f>
        <v/>
      </c>
      <c r="J41" s="83" t="str">
        <f>IFERROR(__xludf.DUMMYFUNCTION("IFERROR(INDEX(IMPORTRANGE(""1wF8uimz-gnzzmqfjHb8Ua7fudqcoq5SrFyToq2B2IO0"",""💸 Expenses!A5:J200""),1,10),"""")"),"Aadi Festival")</f>
        <v>Aadi Festival</v>
      </c>
      <c r="K41" s="36"/>
      <c r="L41" s="36"/>
      <c r="M41" s="36"/>
      <c r="N41" s="36"/>
    </row>
    <row r="42" ht="18.0" customHeight="1">
      <c r="A42" s="54" t="str">
        <f>IFERROR(__xludf.DUMMYFUNCTION("IFERROR(INDEX(IMPORTRANGE(""1wF8uimz-gnzzmqfjHb8Ua7fudqcoq5SrFyToq2B2IO0"",""💸 Expenses!A5:J200""),2,1),"""")"),"")</f>
        <v/>
      </c>
      <c r="B42" s="85" t="str">
        <f>IFERROR(__xludf.DUMMYFUNCTION("IFERROR(IF(INDEX(IMPORTRANGE(""1wF8uimz-gnzzmqfjHb8Ua7fudqcoq5SrFyToq2B2IO0"",""💸 Expenses!A5:J200""),2,2)="""","""",TEXT(INDEX(IMPORTRANGE(""1wF8uimz-gnzzmqfjHb8Ua7fudqcoq5SrFyToq2B2IO0"",""💸 Expenses!A5:J200""),2,2),""DD-MM-YYYY"")),"""")"),"")</f>
        <v/>
      </c>
      <c r="C42" s="86" t="str">
        <f>IFERROR(__xludf.DUMMYFUNCTION("IFERROR(INDEX(IMPORTRANGE(""1wF8uimz-gnzzmqfjHb8Ua7fudqcoq5SrFyToq2B2IO0"",""💸 Expenses!A5:J200""),2,3),"""")"),"")</f>
        <v/>
      </c>
      <c r="D42" s="86" t="str">
        <f>IFERROR(__xludf.DUMMYFUNCTION("IFERROR(INDEX(IMPORTRANGE(""1wF8uimz-gnzzmqfjHb8Ua7fudqcoq5SrFyToq2B2IO0"",""💸 Expenses!A5:J200""),2,4),"""")"),"")</f>
        <v/>
      </c>
      <c r="E42" s="86" t="str">
        <f>IFERROR(__xludf.DUMMYFUNCTION("IFERROR(INDEX(IMPORTRANGE(""1wF8uimz-gnzzmqfjHb8Ua7fudqcoq5SrFyToq2B2IO0"",""💸 Expenses!A5:J200""),2,5),"""")"),"")</f>
        <v/>
      </c>
      <c r="F42" s="87">
        <f>IFERROR(__xludf.DUMMYFUNCTION("IFERROR(IFERROR(INDEX(IMPORTRANGE(""1wF8uimz-gnzzmqfjHb8Ua7fudqcoq5SrFyToq2B2IO0"",""💸 Expenses!A5:J200""),2,6)*1,0),0)"),0.0)</f>
        <v>0</v>
      </c>
      <c r="G42" s="86" t="str">
        <f>IFERROR(__xludf.DUMMYFUNCTION("IFERROR(INDEX(IMPORTRANGE(""1wF8uimz-gnzzmqfjHb8Ua7fudqcoq5SrFyToq2B2IO0"",""💸 Expenses!A5:J200""),2,7),"""")"),"")</f>
        <v/>
      </c>
      <c r="H42" s="86" t="str">
        <f>IFERROR(__xludf.DUMMYFUNCTION("IFERROR(INDEX(IMPORTRANGE(""1wF8uimz-gnzzmqfjHb8Ua7fudqcoq5SrFyToq2B2IO0"",""💸 Expenses!A5:J200""),2,8),"""")"),"")</f>
        <v/>
      </c>
      <c r="I42" s="86" t="str">
        <f>IFERROR(__xludf.DUMMYFUNCTION("IFERROR(INDEX(IMPORTRANGE(""1wF8uimz-gnzzmqfjHb8Ua7fudqcoq5SrFyToq2B2IO0"",""💸 Expenses!A5:J200""),2,9),"""")"),"")</f>
        <v/>
      </c>
      <c r="J42" s="86" t="str">
        <f>IFERROR(__xludf.DUMMYFUNCTION("IFERROR(INDEX(IMPORTRANGE(""1wF8uimz-gnzzmqfjHb8Ua7fudqcoq5SrFyToq2B2IO0"",""💸 Expenses!A5:J200""),2,10),"""")"),"")</f>
        <v/>
      </c>
      <c r="K42" s="37"/>
      <c r="L42" s="37"/>
      <c r="M42" s="37"/>
      <c r="N42" s="37"/>
    </row>
    <row r="43" ht="18.0" customHeight="1">
      <c r="A43" s="50" t="str">
        <f>IFERROR(__xludf.DUMMYFUNCTION("IFERROR(INDEX(IMPORTRANGE(""1wF8uimz-gnzzmqfjHb8Ua7fudqcoq5SrFyToq2B2IO0"",""💸 Expenses!A5:J200""),3,1),"""")"),"")</f>
        <v/>
      </c>
      <c r="B43" s="82" t="str">
        <f>IFERROR(__xludf.DUMMYFUNCTION("IFERROR(IF(INDEX(IMPORTRANGE(""1wF8uimz-gnzzmqfjHb8Ua7fudqcoq5SrFyToq2B2IO0"",""💸 Expenses!A5:J200""),3,2)="""","""",TEXT(INDEX(IMPORTRANGE(""1wF8uimz-gnzzmqfjHb8Ua7fudqcoq5SrFyToq2B2IO0"",""💸 Expenses!A5:J200""),3,2),""DD-MM-YYYY"")),"""")"),"")</f>
        <v/>
      </c>
      <c r="C43" s="83" t="str">
        <f>IFERROR(__xludf.DUMMYFUNCTION("IFERROR(INDEX(IMPORTRANGE(""1wF8uimz-gnzzmqfjHb8Ua7fudqcoq5SrFyToq2B2IO0"",""💸 Expenses!A5:J200""),3,3),"""")"),"")</f>
        <v/>
      </c>
      <c r="D43" s="83" t="str">
        <f>IFERROR(__xludf.DUMMYFUNCTION("IFERROR(INDEX(IMPORTRANGE(""1wF8uimz-gnzzmqfjHb8Ua7fudqcoq5SrFyToq2B2IO0"",""💸 Expenses!A5:J200""),3,4),"""")"),"")</f>
        <v/>
      </c>
      <c r="E43" s="83" t="str">
        <f>IFERROR(__xludf.DUMMYFUNCTION("IFERROR(INDEX(IMPORTRANGE(""1wF8uimz-gnzzmqfjHb8Ua7fudqcoq5SrFyToq2B2IO0"",""💸 Expenses!A5:J200""),3,5),"""")"),"")</f>
        <v/>
      </c>
      <c r="F43" s="84">
        <f>IFERROR(__xludf.DUMMYFUNCTION("IFERROR(IFERROR(INDEX(IMPORTRANGE(""1wF8uimz-gnzzmqfjHb8Ua7fudqcoq5SrFyToq2B2IO0"",""💸 Expenses!A5:J200""),3,6)*1,0),0)"),0.0)</f>
        <v>0</v>
      </c>
      <c r="G43" s="83" t="str">
        <f>IFERROR(__xludf.DUMMYFUNCTION("IFERROR(INDEX(IMPORTRANGE(""1wF8uimz-gnzzmqfjHb8Ua7fudqcoq5SrFyToq2B2IO0"",""💸 Expenses!A5:J200""),3,7),"""")"),"")</f>
        <v/>
      </c>
      <c r="H43" s="83" t="str">
        <f>IFERROR(__xludf.DUMMYFUNCTION("IFERROR(INDEX(IMPORTRANGE(""1wF8uimz-gnzzmqfjHb8Ua7fudqcoq5SrFyToq2B2IO0"",""💸 Expenses!A5:J200""),3,8),"""")"),"")</f>
        <v/>
      </c>
      <c r="I43" s="83" t="str">
        <f>IFERROR(__xludf.DUMMYFUNCTION("IFERROR(INDEX(IMPORTRANGE(""1wF8uimz-gnzzmqfjHb8Ua7fudqcoq5SrFyToq2B2IO0"",""💸 Expenses!A5:J200""),3,9),"""")"),"")</f>
        <v/>
      </c>
      <c r="J43" s="83" t="str">
        <f>IFERROR(__xludf.DUMMYFUNCTION("IFERROR(INDEX(IMPORTRANGE(""1wF8uimz-gnzzmqfjHb8Ua7fudqcoq5SrFyToq2B2IO0"",""💸 Expenses!A5:J200""),3,10),"""")"),"")</f>
        <v/>
      </c>
      <c r="K43" s="36"/>
      <c r="L43" s="36"/>
      <c r="M43" s="36"/>
      <c r="N43" s="36"/>
    </row>
    <row r="44" ht="18.0" customHeight="1">
      <c r="A44" s="54" t="str">
        <f>IFERROR(__xludf.DUMMYFUNCTION("IFERROR(INDEX(IMPORTRANGE(""1wF8uimz-gnzzmqfjHb8Ua7fudqcoq5SrFyToq2B2IO0"",""💸 Expenses!A5:J200""),4,1),"""")"),"")</f>
        <v/>
      </c>
      <c r="B44" s="85" t="str">
        <f>IFERROR(__xludf.DUMMYFUNCTION("IFERROR(IF(INDEX(IMPORTRANGE(""1wF8uimz-gnzzmqfjHb8Ua7fudqcoq5SrFyToq2B2IO0"",""💸 Expenses!A5:J200""),4,2)="""","""",TEXT(INDEX(IMPORTRANGE(""1wF8uimz-gnzzmqfjHb8Ua7fudqcoq5SrFyToq2B2IO0"",""💸 Expenses!A5:J200""),4,2),""DD-MM-YYYY"")),"""")"),"")</f>
        <v/>
      </c>
      <c r="C44" s="86" t="str">
        <f>IFERROR(__xludf.DUMMYFUNCTION("IFERROR(INDEX(IMPORTRANGE(""1wF8uimz-gnzzmqfjHb8Ua7fudqcoq5SrFyToq2B2IO0"",""💸 Expenses!A5:J200""),4,3),"""")"),"")</f>
        <v/>
      </c>
      <c r="D44" s="86" t="str">
        <f>IFERROR(__xludf.DUMMYFUNCTION("IFERROR(INDEX(IMPORTRANGE(""1wF8uimz-gnzzmqfjHb8Ua7fudqcoq5SrFyToq2B2IO0"",""💸 Expenses!A5:J200""),4,4),"""")"),"")</f>
        <v/>
      </c>
      <c r="E44" s="86" t="str">
        <f>IFERROR(__xludf.DUMMYFUNCTION("IFERROR(INDEX(IMPORTRANGE(""1wF8uimz-gnzzmqfjHb8Ua7fudqcoq5SrFyToq2B2IO0"",""💸 Expenses!A5:J200""),4,5),"""")"),"")</f>
        <v/>
      </c>
      <c r="F44" s="87">
        <f>IFERROR(__xludf.DUMMYFUNCTION("IFERROR(IFERROR(INDEX(IMPORTRANGE(""1wF8uimz-gnzzmqfjHb8Ua7fudqcoq5SrFyToq2B2IO0"",""💸 Expenses!A5:J200""),4,6)*1,0),0)"),0.0)</f>
        <v>0</v>
      </c>
      <c r="G44" s="86" t="str">
        <f>IFERROR(__xludf.DUMMYFUNCTION("IFERROR(INDEX(IMPORTRANGE(""1wF8uimz-gnzzmqfjHb8Ua7fudqcoq5SrFyToq2B2IO0"",""💸 Expenses!A5:J200""),4,7),"""")"),"")</f>
        <v/>
      </c>
      <c r="H44" s="86" t="str">
        <f>IFERROR(__xludf.DUMMYFUNCTION("IFERROR(INDEX(IMPORTRANGE(""1wF8uimz-gnzzmqfjHb8Ua7fudqcoq5SrFyToq2B2IO0"",""💸 Expenses!A5:J200""),4,8),"""")"),"")</f>
        <v/>
      </c>
      <c r="I44" s="86" t="str">
        <f>IFERROR(__xludf.DUMMYFUNCTION("IFERROR(INDEX(IMPORTRANGE(""1wF8uimz-gnzzmqfjHb8Ua7fudqcoq5SrFyToq2B2IO0"",""💸 Expenses!A5:J200""),4,9),"""")"),"")</f>
        <v/>
      </c>
      <c r="J44" s="86" t="str">
        <f>IFERROR(__xludf.DUMMYFUNCTION("IFERROR(INDEX(IMPORTRANGE(""1wF8uimz-gnzzmqfjHb8Ua7fudqcoq5SrFyToq2B2IO0"",""💸 Expenses!A5:J200""),4,10),"""")"),"")</f>
        <v/>
      </c>
      <c r="K44" s="37"/>
      <c r="L44" s="37"/>
      <c r="M44" s="37"/>
      <c r="N44" s="37"/>
    </row>
    <row r="45" ht="18.0" customHeight="1">
      <c r="A45" s="50" t="str">
        <f>IFERROR(__xludf.DUMMYFUNCTION("IFERROR(INDEX(IMPORTRANGE(""1wF8uimz-gnzzmqfjHb8Ua7fudqcoq5SrFyToq2B2IO0"",""💸 Expenses!A5:J200""),5,1),"""")"),"")</f>
        <v/>
      </c>
      <c r="B45" s="82" t="str">
        <f>IFERROR(__xludf.DUMMYFUNCTION("IFERROR(IF(INDEX(IMPORTRANGE(""1wF8uimz-gnzzmqfjHb8Ua7fudqcoq5SrFyToq2B2IO0"",""💸 Expenses!A5:J200""),5,2)="""","""",TEXT(INDEX(IMPORTRANGE(""1wF8uimz-gnzzmqfjHb8Ua7fudqcoq5SrFyToq2B2IO0"",""💸 Expenses!A5:J200""),5,2),""DD-MM-YYYY"")),"""")"),"")</f>
        <v/>
      </c>
      <c r="C45" s="83" t="str">
        <f>IFERROR(__xludf.DUMMYFUNCTION("IFERROR(INDEX(IMPORTRANGE(""1wF8uimz-gnzzmqfjHb8Ua7fudqcoq5SrFyToq2B2IO0"",""💸 Expenses!A5:J200""),5,3),"""")"),"")</f>
        <v/>
      </c>
      <c r="D45" s="83" t="str">
        <f>IFERROR(__xludf.DUMMYFUNCTION("IFERROR(INDEX(IMPORTRANGE(""1wF8uimz-gnzzmqfjHb8Ua7fudqcoq5SrFyToq2B2IO0"",""💸 Expenses!A5:J200""),5,4),"""")"),"")</f>
        <v/>
      </c>
      <c r="E45" s="83" t="str">
        <f>IFERROR(__xludf.DUMMYFUNCTION("IFERROR(INDEX(IMPORTRANGE(""1wF8uimz-gnzzmqfjHb8Ua7fudqcoq5SrFyToq2B2IO0"",""💸 Expenses!A5:J200""),5,5),"""")"),"")</f>
        <v/>
      </c>
      <c r="F45" s="84">
        <f>IFERROR(__xludf.DUMMYFUNCTION("IFERROR(IFERROR(INDEX(IMPORTRANGE(""1wF8uimz-gnzzmqfjHb8Ua7fudqcoq5SrFyToq2B2IO0"",""💸 Expenses!A5:J200""),5,6)*1,0),0)"),0.0)</f>
        <v>0</v>
      </c>
      <c r="G45" s="83" t="str">
        <f>IFERROR(__xludf.DUMMYFUNCTION("IFERROR(INDEX(IMPORTRANGE(""1wF8uimz-gnzzmqfjHb8Ua7fudqcoq5SrFyToq2B2IO0"",""💸 Expenses!A5:J200""),5,7),"""")"),"")</f>
        <v/>
      </c>
      <c r="H45" s="83" t="str">
        <f>IFERROR(__xludf.DUMMYFUNCTION("IFERROR(INDEX(IMPORTRANGE(""1wF8uimz-gnzzmqfjHb8Ua7fudqcoq5SrFyToq2B2IO0"",""💸 Expenses!A5:J200""),5,8),"""")"),"")</f>
        <v/>
      </c>
      <c r="I45" s="83" t="str">
        <f>IFERROR(__xludf.DUMMYFUNCTION("IFERROR(INDEX(IMPORTRANGE(""1wF8uimz-gnzzmqfjHb8Ua7fudqcoq5SrFyToq2B2IO0"",""💸 Expenses!A5:J200""),5,9),"""")"),"")</f>
        <v/>
      </c>
      <c r="J45" s="83" t="str">
        <f>IFERROR(__xludf.DUMMYFUNCTION("IFERROR(INDEX(IMPORTRANGE(""1wF8uimz-gnzzmqfjHb8Ua7fudqcoq5SrFyToq2B2IO0"",""💸 Expenses!A5:J200""),5,10),"""")"),"")</f>
        <v/>
      </c>
      <c r="K45" s="36"/>
      <c r="L45" s="36"/>
      <c r="M45" s="36"/>
      <c r="N45" s="36"/>
    </row>
    <row r="46" ht="18.0" customHeight="1">
      <c r="A46" s="54" t="str">
        <f>IFERROR(__xludf.DUMMYFUNCTION("IFERROR(INDEX(IMPORTRANGE(""1wF8uimz-gnzzmqfjHb8Ua7fudqcoq5SrFyToq2B2IO0"",""💸 Expenses!A5:J200""),6,1),"""")"),"")</f>
        <v/>
      </c>
      <c r="B46" s="85" t="str">
        <f>IFERROR(__xludf.DUMMYFUNCTION("IFERROR(IF(INDEX(IMPORTRANGE(""1wF8uimz-gnzzmqfjHb8Ua7fudqcoq5SrFyToq2B2IO0"",""💸 Expenses!A5:J200""),6,2)="""","""",TEXT(INDEX(IMPORTRANGE(""1wF8uimz-gnzzmqfjHb8Ua7fudqcoq5SrFyToq2B2IO0"",""💸 Expenses!A5:J200""),6,2),""DD-MM-YYYY"")),"""")"),"")</f>
        <v/>
      </c>
      <c r="C46" s="86" t="str">
        <f>IFERROR(__xludf.DUMMYFUNCTION("IFERROR(INDEX(IMPORTRANGE(""1wF8uimz-gnzzmqfjHb8Ua7fudqcoq5SrFyToq2B2IO0"",""💸 Expenses!A5:J200""),6,3),"""")"),"")</f>
        <v/>
      </c>
      <c r="D46" s="86" t="str">
        <f>IFERROR(__xludf.DUMMYFUNCTION("IFERROR(INDEX(IMPORTRANGE(""1wF8uimz-gnzzmqfjHb8Ua7fudqcoq5SrFyToq2B2IO0"",""💸 Expenses!A5:J200""),6,4),"""")"),"")</f>
        <v/>
      </c>
      <c r="E46" s="86" t="str">
        <f>IFERROR(__xludf.DUMMYFUNCTION("IFERROR(INDEX(IMPORTRANGE(""1wF8uimz-gnzzmqfjHb8Ua7fudqcoq5SrFyToq2B2IO0"",""💸 Expenses!A5:J200""),6,5),"""")"),"")</f>
        <v/>
      </c>
      <c r="F46" s="87">
        <f>IFERROR(__xludf.DUMMYFUNCTION("IFERROR(IFERROR(INDEX(IMPORTRANGE(""1wF8uimz-gnzzmqfjHb8Ua7fudqcoq5SrFyToq2B2IO0"",""💸 Expenses!A5:J200""),6,6)*1,0),0)"),0.0)</f>
        <v>0</v>
      </c>
      <c r="G46" s="86" t="str">
        <f>IFERROR(__xludf.DUMMYFUNCTION("IFERROR(INDEX(IMPORTRANGE(""1wF8uimz-gnzzmqfjHb8Ua7fudqcoq5SrFyToq2B2IO0"",""💸 Expenses!A5:J200""),6,7),"""")"),"")</f>
        <v/>
      </c>
      <c r="H46" s="86" t="str">
        <f>IFERROR(__xludf.DUMMYFUNCTION("IFERROR(INDEX(IMPORTRANGE(""1wF8uimz-gnzzmqfjHb8Ua7fudqcoq5SrFyToq2B2IO0"",""💸 Expenses!A5:J200""),6,8),"""")"),"")</f>
        <v/>
      </c>
      <c r="I46" s="86" t="str">
        <f>IFERROR(__xludf.DUMMYFUNCTION("IFERROR(INDEX(IMPORTRANGE(""1wF8uimz-gnzzmqfjHb8Ua7fudqcoq5SrFyToq2B2IO0"",""💸 Expenses!A5:J200""),6,9),"""")"),"")</f>
        <v/>
      </c>
      <c r="J46" s="86" t="str">
        <f>IFERROR(__xludf.DUMMYFUNCTION("IFERROR(INDEX(IMPORTRANGE(""1wF8uimz-gnzzmqfjHb8Ua7fudqcoq5SrFyToq2B2IO0"",""💸 Expenses!A5:J200""),6,10),"""")"),"")</f>
        <v/>
      </c>
      <c r="K46" s="37"/>
      <c r="L46" s="37"/>
      <c r="M46" s="37"/>
      <c r="N46" s="37"/>
    </row>
    <row r="47" ht="18.0" customHeight="1">
      <c r="A47" s="50" t="str">
        <f>IFERROR(__xludf.DUMMYFUNCTION("IFERROR(INDEX(IMPORTRANGE(""1wF8uimz-gnzzmqfjHb8Ua7fudqcoq5SrFyToq2B2IO0"",""💸 Expenses!A5:J200""),7,1),"""")"),"")</f>
        <v/>
      </c>
      <c r="B47" s="82" t="str">
        <f>IFERROR(__xludf.DUMMYFUNCTION("IFERROR(IF(INDEX(IMPORTRANGE(""1wF8uimz-gnzzmqfjHb8Ua7fudqcoq5SrFyToq2B2IO0"",""💸 Expenses!A5:J200""),7,2)="""","""",TEXT(INDEX(IMPORTRANGE(""1wF8uimz-gnzzmqfjHb8Ua7fudqcoq5SrFyToq2B2IO0"",""💸 Expenses!A5:J200""),7,2),""DD-MM-YYYY"")),"""")"),"")</f>
        <v/>
      </c>
      <c r="C47" s="83" t="str">
        <f>IFERROR(__xludf.DUMMYFUNCTION("IFERROR(INDEX(IMPORTRANGE(""1wF8uimz-gnzzmqfjHb8Ua7fudqcoq5SrFyToq2B2IO0"",""💸 Expenses!A5:J200""),7,3),"""")"),"")</f>
        <v/>
      </c>
      <c r="D47" s="83" t="str">
        <f>IFERROR(__xludf.DUMMYFUNCTION("IFERROR(INDEX(IMPORTRANGE(""1wF8uimz-gnzzmqfjHb8Ua7fudqcoq5SrFyToq2B2IO0"",""💸 Expenses!A5:J200""),7,4),"""")"),"")</f>
        <v/>
      </c>
      <c r="E47" s="83" t="str">
        <f>IFERROR(__xludf.DUMMYFUNCTION("IFERROR(INDEX(IMPORTRANGE(""1wF8uimz-gnzzmqfjHb8Ua7fudqcoq5SrFyToq2B2IO0"",""💸 Expenses!A5:J200""),7,5),"""")"),"")</f>
        <v/>
      </c>
      <c r="F47" s="84">
        <f>IFERROR(__xludf.DUMMYFUNCTION("IFERROR(IFERROR(INDEX(IMPORTRANGE(""1wF8uimz-gnzzmqfjHb8Ua7fudqcoq5SrFyToq2B2IO0"",""💸 Expenses!A5:J200""),7,6)*1,0),0)"),0.0)</f>
        <v>0</v>
      </c>
      <c r="G47" s="83" t="str">
        <f>IFERROR(__xludf.DUMMYFUNCTION("IFERROR(INDEX(IMPORTRANGE(""1wF8uimz-gnzzmqfjHb8Ua7fudqcoq5SrFyToq2B2IO0"",""💸 Expenses!A5:J200""),7,7),"""")"),"")</f>
        <v/>
      </c>
      <c r="H47" s="83" t="str">
        <f>IFERROR(__xludf.DUMMYFUNCTION("IFERROR(INDEX(IMPORTRANGE(""1wF8uimz-gnzzmqfjHb8Ua7fudqcoq5SrFyToq2B2IO0"",""💸 Expenses!A5:J200""),7,8),"""")"),"")</f>
        <v/>
      </c>
      <c r="I47" s="83" t="str">
        <f>IFERROR(__xludf.DUMMYFUNCTION("IFERROR(INDEX(IMPORTRANGE(""1wF8uimz-gnzzmqfjHb8Ua7fudqcoq5SrFyToq2B2IO0"",""💸 Expenses!A5:J200""),7,9),"""")"),"")</f>
        <v/>
      </c>
      <c r="J47" s="83" t="str">
        <f>IFERROR(__xludf.DUMMYFUNCTION("IFERROR(INDEX(IMPORTRANGE(""1wF8uimz-gnzzmqfjHb8Ua7fudqcoq5SrFyToq2B2IO0"",""💸 Expenses!A5:J200""),7,10),"""")"),"")</f>
        <v/>
      </c>
      <c r="K47" s="36"/>
      <c r="L47" s="36"/>
      <c r="M47" s="36"/>
      <c r="N47" s="36"/>
    </row>
    <row r="48" ht="18.0" customHeight="1">
      <c r="A48" s="54" t="str">
        <f>IFERROR(__xludf.DUMMYFUNCTION("IFERROR(INDEX(IMPORTRANGE(""1wF8uimz-gnzzmqfjHb8Ua7fudqcoq5SrFyToq2B2IO0"",""💸 Expenses!A5:J200""),8,1),"""")"),"")</f>
        <v/>
      </c>
      <c r="B48" s="85" t="str">
        <f>IFERROR(__xludf.DUMMYFUNCTION("IFERROR(IF(INDEX(IMPORTRANGE(""1wF8uimz-gnzzmqfjHb8Ua7fudqcoq5SrFyToq2B2IO0"",""💸 Expenses!A5:J200""),8,2)="""","""",TEXT(INDEX(IMPORTRANGE(""1wF8uimz-gnzzmqfjHb8Ua7fudqcoq5SrFyToq2B2IO0"",""💸 Expenses!A5:J200""),8,2),""DD-MM-YYYY"")),"""")"),"")</f>
        <v/>
      </c>
      <c r="C48" s="86" t="str">
        <f>IFERROR(__xludf.DUMMYFUNCTION("IFERROR(INDEX(IMPORTRANGE(""1wF8uimz-gnzzmqfjHb8Ua7fudqcoq5SrFyToq2B2IO0"",""💸 Expenses!A5:J200""),8,3),"""")"),"")</f>
        <v/>
      </c>
      <c r="D48" s="86" t="str">
        <f>IFERROR(__xludf.DUMMYFUNCTION("IFERROR(INDEX(IMPORTRANGE(""1wF8uimz-gnzzmqfjHb8Ua7fudqcoq5SrFyToq2B2IO0"",""💸 Expenses!A5:J200""),8,4),"""")"),"")</f>
        <v/>
      </c>
      <c r="E48" s="86" t="str">
        <f>IFERROR(__xludf.DUMMYFUNCTION("IFERROR(INDEX(IMPORTRANGE(""1wF8uimz-gnzzmqfjHb8Ua7fudqcoq5SrFyToq2B2IO0"",""💸 Expenses!A5:J200""),8,5),"""")"),"")</f>
        <v/>
      </c>
      <c r="F48" s="87">
        <f>IFERROR(__xludf.DUMMYFUNCTION("IFERROR(IFERROR(INDEX(IMPORTRANGE(""1wF8uimz-gnzzmqfjHb8Ua7fudqcoq5SrFyToq2B2IO0"",""💸 Expenses!A5:J200""),8,6)*1,0),0)"),0.0)</f>
        <v>0</v>
      </c>
      <c r="G48" s="86" t="str">
        <f>IFERROR(__xludf.DUMMYFUNCTION("IFERROR(INDEX(IMPORTRANGE(""1wF8uimz-gnzzmqfjHb8Ua7fudqcoq5SrFyToq2B2IO0"",""💸 Expenses!A5:J200""),8,7),"""")"),"")</f>
        <v/>
      </c>
      <c r="H48" s="86" t="str">
        <f>IFERROR(__xludf.DUMMYFUNCTION("IFERROR(INDEX(IMPORTRANGE(""1wF8uimz-gnzzmqfjHb8Ua7fudqcoq5SrFyToq2B2IO0"",""💸 Expenses!A5:J200""),8,8),"""")"),"")</f>
        <v/>
      </c>
      <c r="I48" s="86" t="str">
        <f>IFERROR(__xludf.DUMMYFUNCTION("IFERROR(INDEX(IMPORTRANGE(""1wF8uimz-gnzzmqfjHb8Ua7fudqcoq5SrFyToq2B2IO0"",""💸 Expenses!A5:J200""),8,9),"""")"),"")</f>
        <v/>
      </c>
      <c r="J48" s="86" t="str">
        <f>IFERROR(__xludf.DUMMYFUNCTION("IFERROR(INDEX(IMPORTRANGE(""1wF8uimz-gnzzmqfjHb8Ua7fudqcoq5SrFyToq2B2IO0"",""💸 Expenses!A5:J200""),8,10),"""")"),"")</f>
        <v/>
      </c>
      <c r="K48" s="37"/>
      <c r="L48" s="37"/>
      <c r="M48" s="37"/>
      <c r="N48" s="37"/>
    </row>
    <row r="49" ht="18.0" customHeight="1">
      <c r="A49" s="50" t="str">
        <f>IFERROR(__xludf.DUMMYFUNCTION("IFERROR(INDEX(IMPORTRANGE(""1wF8uimz-gnzzmqfjHb8Ua7fudqcoq5SrFyToq2B2IO0"",""💸 Expenses!A5:J200""),9,1),"""")"),"")</f>
        <v/>
      </c>
      <c r="B49" s="82" t="str">
        <f>IFERROR(__xludf.DUMMYFUNCTION("IFERROR(IF(INDEX(IMPORTRANGE(""1wF8uimz-gnzzmqfjHb8Ua7fudqcoq5SrFyToq2B2IO0"",""💸 Expenses!A5:J200""),9,2)="""","""",TEXT(INDEX(IMPORTRANGE(""1wF8uimz-gnzzmqfjHb8Ua7fudqcoq5SrFyToq2B2IO0"",""💸 Expenses!A5:J200""),9,2),""DD-MM-YYYY"")),"""")"),"")</f>
        <v/>
      </c>
      <c r="C49" s="83" t="str">
        <f>IFERROR(__xludf.DUMMYFUNCTION("IFERROR(INDEX(IMPORTRANGE(""1wF8uimz-gnzzmqfjHb8Ua7fudqcoq5SrFyToq2B2IO0"",""💸 Expenses!A5:J200""),9,3),"""")"),"")</f>
        <v/>
      </c>
      <c r="D49" s="83" t="str">
        <f>IFERROR(__xludf.DUMMYFUNCTION("IFERROR(INDEX(IMPORTRANGE(""1wF8uimz-gnzzmqfjHb8Ua7fudqcoq5SrFyToq2B2IO0"",""💸 Expenses!A5:J200""),9,4),"""")"),"")</f>
        <v/>
      </c>
      <c r="E49" s="83" t="str">
        <f>IFERROR(__xludf.DUMMYFUNCTION("IFERROR(INDEX(IMPORTRANGE(""1wF8uimz-gnzzmqfjHb8Ua7fudqcoq5SrFyToq2B2IO0"",""💸 Expenses!A5:J200""),9,5),"""")"),"")</f>
        <v/>
      </c>
      <c r="F49" s="84">
        <f>IFERROR(__xludf.DUMMYFUNCTION("IFERROR(IFERROR(INDEX(IMPORTRANGE(""1wF8uimz-gnzzmqfjHb8Ua7fudqcoq5SrFyToq2B2IO0"",""💸 Expenses!A5:J200""),9,6)*1,0),0)"),0.0)</f>
        <v>0</v>
      </c>
      <c r="G49" s="83" t="str">
        <f>IFERROR(__xludf.DUMMYFUNCTION("IFERROR(INDEX(IMPORTRANGE(""1wF8uimz-gnzzmqfjHb8Ua7fudqcoq5SrFyToq2B2IO0"",""💸 Expenses!A5:J200""),9,7),"""")"),"")</f>
        <v/>
      </c>
      <c r="H49" s="83" t="str">
        <f>IFERROR(__xludf.DUMMYFUNCTION("IFERROR(INDEX(IMPORTRANGE(""1wF8uimz-gnzzmqfjHb8Ua7fudqcoq5SrFyToq2B2IO0"",""💸 Expenses!A5:J200""),9,8),"""")"),"")</f>
        <v/>
      </c>
      <c r="I49" s="83" t="str">
        <f>IFERROR(__xludf.DUMMYFUNCTION("IFERROR(INDEX(IMPORTRANGE(""1wF8uimz-gnzzmqfjHb8Ua7fudqcoq5SrFyToq2B2IO0"",""💸 Expenses!A5:J200""),9,9),"""")"),"")</f>
        <v/>
      </c>
      <c r="J49" s="83" t="str">
        <f>IFERROR(__xludf.DUMMYFUNCTION("IFERROR(INDEX(IMPORTRANGE(""1wF8uimz-gnzzmqfjHb8Ua7fudqcoq5SrFyToq2B2IO0"",""💸 Expenses!A5:J200""),9,10),"""")"),"")</f>
        <v/>
      </c>
      <c r="K49" s="36"/>
      <c r="L49" s="36"/>
      <c r="M49" s="36"/>
      <c r="N49" s="36"/>
    </row>
    <row r="50" ht="18.0" customHeight="1">
      <c r="A50" s="54" t="str">
        <f>IFERROR(__xludf.DUMMYFUNCTION("IFERROR(INDEX(IMPORTRANGE(""1wF8uimz-gnzzmqfjHb8Ua7fudqcoq5SrFyToq2B2IO0"",""💸 Expenses!A5:J200""),10,1),"""")"),"")</f>
        <v/>
      </c>
      <c r="B50" s="85" t="str">
        <f>IFERROR(__xludf.DUMMYFUNCTION("IFERROR(IF(INDEX(IMPORTRANGE(""1wF8uimz-gnzzmqfjHb8Ua7fudqcoq5SrFyToq2B2IO0"",""💸 Expenses!A5:J200""),10,2)="""","""",TEXT(INDEX(IMPORTRANGE(""1wF8uimz-gnzzmqfjHb8Ua7fudqcoq5SrFyToq2B2IO0"",""💸 Expenses!A5:J200""),10,2),""DD-MM-YYYY"")),"""")"),"")</f>
        <v/>
      </c>
      <c r="C50" s="86" t="str">
        <f>IFERROR(__xludf.DUMMYFUNCTION("IFERROR(INDEX(IMPORTRANGE(""1wF8uimz-gnzzmqfjHb8Ua7fudqcoq5SrFyToq2B2IO0"",""💸 Expenses!A5:J200""),10,3),"""")"),"")</f>
        <v/>
      </c>
      <c r="D50" s="86" t="str">
        <f>IFERROR(__xludf.DUMMYFUNCTION("IFERROR(INDEX(IMPORTRANGE(""1wF8uimz-gnzzmqfjHb8Ua7fudqcoq5SrFyToq2B2IO0"",""💸 Expenses!A5:J200""),10,4),"""")"),"")</f>
        <v/>
      </c>
      <c r="E50" s="86" t="str">
        <f>IFERROR(__xludf.DUMMYFUNCTION("IFERROR(INDEX(IMPORTRANGE(""1wF8uimz-gnzzmqfjHb8Ua7fudqcoq5SrFyToq2B2IO0"",""💸 Expenses!A5:J200""),10,5),"""")"),"")</f>
        <v/>
      </c>
      <c r="F50" s="87">
        <f>IFERROR(__xludf.DUMMYFUNCTION("IFERROR(IFERROR(INDEX(IMPORTRANGE(""1wF8uimz-gnzzmqfjHb8Ua7fudqcoq5SrFyToq2B2IO0"",""💸 Expenses!A5:J200""),10,6)*1,0),0)"),0.0)</f>
        <v>0</v>
      </c>
      <c r="G50" s="86" t="str">
        <f>IFERROR(__xludf.DUMMYFUNCTION("IFERROR(INDEX(IMPORTRANGE(""1wF8uimz-gnzzmqfjHb8Ua7fudqcoq5SrFyToq2B2IO0"",""💸 Expenses!A5:J200""),10,7),"""")"),"")</f>
        <v/>
      </c>
      <c r="H50" s="86" t="str">
        <f>IFERROR(__xludf.DUMMYFUNCTION("IFERROR(INDEX(IMPORTRANGE(""1wF8uimz-gnzzmqfjHb8Ua7fudqcoq5SrFyToq2B2IO0"",""💸 Expenses!A5:J200""),10,8),"""")"),"")</f>
        <v/>
      </c>
      <c r="I50" s="86" t="str">
        <f>IFERROR(__xludf.DUMMYFUNCTION("IFERROR(INDEX(IMPORTRANGE(""1wF8uimz-gnzzmqfjHb8Ua7fudqcoq5SrFyToq2B2IO0"",""💸 Expenses!A5:J200""),10,9),"""")"),"")</f>
        <v/>
      </c>
      <c r="J50" s="86" t="str">
        <f>IFERROR(__xludf.DUMMYFUNCTION("IFERROR(INDEX(IMPORTRANGE(""1wF8uimz-gnzzmqfjHb8Ua7fudqcoq5SrFyToq2B2IO0"",""💸 Expenses!A5:J200""),10,10),"""")"),"")</f>
        <v/>
      </c>
      <c r="K50" s="37"/>
      <c r="L50" s="37"/>
      <c r="M50" s="37"/>
      <c r="N50" s="37"/>
    </row>
    <row r="51" ht="18.0" customHeight="1">
      <c r="A51" s="50" t="str">
        <f>IFERROR(__xludf.DUMMYFUNCTION("IFERROR(INDEX(IMPORTRANGE(""1wF8uimz-gnzzmqfjHb8Ua7fudqcoq5SrFyToq2B2IO0"",""💸 Expenses!A5:J200""),11,1),"""")"),"")</f>
        <v/>
      </c>
      <c r="B51" s="82" t="str">
        <f>IFERROR(__xludf.DUMMYFUNCTION("IFERROR(IF(INDEX(IMPORTRANGE(""1wF8uimz-gnzzmqfjHb8Ua7fudqcoq5SrFyToq2B2IO0"",""💸 Expenses!A5:J200""),11,2)="""","""",TEXT(INDEX(IMPORTRANGE(""1wF8uimz-gnzzmqfjHb8Ua7fudqcoq5SrFyToq2B2IO0"",""💸 Expenses!A5:J200""),11,2),""DD-MM-YYYY"")),"""")"),"")</f>
        <v/>
      </c>
      <c r="C51" s="83" t="str">
        <f>IFERROR(__xludf.DUMMYFUNCTION("IFERROR(INDEX(IMPORTRANGE(""1wF8uimz-gnzzmqfjHb8Ua7fudqcoq5SrFyToq2B2IO0"",""💸 Expenses!A5:J200""),11,3),"""")"),"")</f>
        <v/>
      </c>
      <c r="D51" s="83" t="str">
        <f>IFERROR(__xludf.DUMMYFUNCTION("IFERROR(INDEX(IMPORTRANGE(""1wF8uimz-gnzzmqfjHb8Ua7fudqcoq5SrFyToq2B2IO0"",""💸 Expenses!A5:J200""),11,4),"""")"),"")</f>
        <v/>
      </c>
      <c r="E51" s="83" t="str">
        <f>IFERROR(__xludf.DUMMYFUNCTION("IFERROR(INDEX(IMPORTRANGE(""1wF8uimz-gnzzmqfjHb8Ua7fudqcoq5SrFyToq2B2IO0"",""💸 Expenses!A5:J200""),11,5),"""")"),"")</f>
        <v/>
      </c>
      <c r="F51" s="84">
        <f>IFERROR(__xludf.DUMMYFUNCTION("IFERROR(IFERROR(INDEX(IMPORTRANGE(""1wF8uimz-gnzzmqfjHb8Ua7fudqcoq5SrFyToq2B2IO0"",""💸 Expenses!A5:J200""),11,6)*1,0),0)"),0.0)</f>
        <v>0</v>
      </c>
      <c r="G51" s="83" t="str">
        <f>IFERROR(__xludf.DUMMYFUNCTION("IFERROR(INDEX(IMPORTRANGE(""1wF8uimz-gnzzmqfjHb8Ua7fudqcoq5SrFyToq2B2IO0"",""💸 Expenses!A5:J200""),11,7),"""")"),"")</f>
        <v/>
      </c>
      <c r="H51" s="83" t="str">
        <f>IFERROR(__xludf.DUMMYFUNCTION("IFERROR(INDEX(IMPORTRANGE(""1wF8uimz-gnzzmqfjHb8Ua7fudqcoq5SrFyToq2B2IO0"",""💸 Expenses!A5:J200""),11,8),"""")"),"")</f>
        <v/>
      </c>
      <c r="I51" s="83" t="str">
        <f>IFERROR(__xludf.DUMMYFUNCTION("IFERROR(INDEX(IMPORTRANGE(""1wF8uimz-gnzzmqfjHb8Ua7fudqcoq5SrFyToq2B2IO0"",""💸 Expenses!A5:J200""),11,9),"""")"),"")</f>
        <v/>
      </c>
      <c r="J51" s="83" t="str">
        <f>IFERROR(__xludf.DUMMYFUNCTION("IFERROR(INDEX(IMPORTRANGE(""1wF8uimz-gnzzmqfjHb8Ua7fudqcoq5SrFyToq2B2IO0"",""💸 Expenses!A5:J200""),11,10),"""")"),"")</f>
        <v/>
      </c>
      <c r="K51" s="36"/>
      <c r="L51" s="36"/>
      <c r="M51" s="36"/>
      <c r="N51" s="36"/>
    </row>
    <row r="52" ht="18.0" customHeight="1">
      <c r="A52" s="54" t="str">
        <f>IFERROR(__xludf.DUMMYFUNCTION("IFERROR(INDEX(IMPORTRANGE(""1wF8uimz-gnzzmqfjHb8Ua7fudqcoq5SrFyToq2B2IO0"",""💸 Expenses!A5:J200""),12,1),"""")"),"")</f>
        <v/>
      </c>
      <c r="B52" s="85" t="str">
        <f>IFERROR(__xludf.DUMMYFUNCTION("IFERROR(IF(INDEX(IMPORTRANGE(""1wF8uimz-gnzzmqfjHb8Ua7fudqcoq5SrFyToq2B2IO0"",""💸 Expenses!A5:J200""),12,2)="""","""",TEXT(INDEX(IMPORTRANGE(""1wF8uimz-gnzzmqfjHb8Ua7fudqcoq5SrFyToq2B2IO0"",""💸 Expenses!A5:J200""),12,2),""DD-MM-YYYY"")),"""")"),"")</f>
        <v/>
      </c>
      <c r="C52" s="86" t="str">
        <f>IFERROR(__xludf.DUMMYFUNCTION("IFERROR(INDEX(IMPORTRANGE(""1wF8uimz-gnzzmqfjHb8Ua7fudqcoq5SrFyToq2B2IO0"",""💸 Expenses!A5:J200""),12,3),"""")"),"")</f>
        <v/>
      </c>
      <c r="D52" s="86" t="str">
        <f>IFERROR(__xludf.DUMMYFUNCTION("IFERROR(INDEX(IMPORTRANGE(""1wF8uimz-gnzzmqfjHb8Ua7fudqcoq5SrFyToq2B2IO0"",""💸 Expenses!A5:J200""),12,4),"""")"),"")</f>
        <v/>
      </c>
      <c r="E52" s="86" t="str">
        <f>IFERROR(__xludf.DUMMYFUNCTION("IFERROR(INDEX(IMPORTRANGE(""1wF8uimz-gnzzmqfjHb8Ua7fudqcoq5SrFyToq2B2IO0"",""💸 Expenses!A5:J200""),12,5),"""")"),"")</f>
        <v/>
      </c>
      <c r="F52" s="87">
        <f>IFERROR(__xludf.DUMMYFUNCTION("IFERROR(IFERROR(INDEX(IMPORTRANGE(""1wF8uimz-gnzzmqfjHb8Ua7fudqcoq5SrFyToq2B2IO0"",""💸 Expenses!A5:J200""),12,6)*1,0),0)"),0.0)</f>
        <v>0</v>
      </c>
      <c r="G52" s="86" t="str">
        <f>IFERROR(__xludf.DUMMYFUNCTION("IFERROR(INDEX(IMPORTRANGE(""1wF8uimz-gnzzmqfjHb8Ua7fudqcoq5SrFyToq2B2IO0"",""💸 Expenses!A5:J200""),12,7),"""")"),"")</f>
        <v/>
      </c>
      <c r="H52" s="86" t="str">
        <f>IFERROR(__xludf.DUMMYFUNCTION("IFERROR(INDEX(IMPORTRANGE(""1wF8uimz-gnzzmqfjHb8Ua7fudqcoq5SrFyToq2B2IO0"",""💸 Expenses!A5:J200""),12,8),"""")"),"")</f>
        <v/>
      </c>
      <c r="I52" s="86" t="str">
        <f>IFERROR(__xludf.DUMMYFUNCTION("IFERROR(INDEX(IMPORTRANGE(""1wF8uimz-gnzzmqfjHb8Ua7fudqcoq5SrFyToq2B2IO0"",""💸 Expenses!A5:J200""),12,9),"""")"),"")</f>
        <v/>
      </c>
      <c r="J52" s="86" t="str">
        <f>IFERROR(__xludf.DUMMYFUNCTION("IFERROR(INDEX(IMPORTRANGE(""1wF8uimz-gnzzmqfjHb8Ua7fudqcoq5SrFyToq2B2IO0"",""💸 Expenses!A5:J200""),12,10),"""")"),"")</f>
        <v/>
      </c>
      <c r="K52" s="37"/>
      <c r="L52" s="37"/>
      <c r="M52" s="37"/>
      <c r="N52" s="37"/>
    </row>
    <row r="53" ht="18.0" customHeight="1">
      <c r="A53" s="50" t="str">
        <f>IFERROR(__xludf.DUMMYFUNCTION("IFERROR(INDEX(IMPORTRANGE(""1wF8uimz-gnzzmqfjHb8Ua7fudqcoq5SrFyToq2B2IO0"",""💸 Expenses!A5:J200""),13,1),"""")"),"")</f>
        <v/>
      </c>
      <c r="B53" s="82" t="str">
        <f>IFERROR(__xludf.DUMMYFUNCTION("IFERROR(IF(INDEX(IMPORTRANGE(""1wF8uimz-gnzzmqfjHb8Ua7fudqcoq5SrFyToq2B2IO0"",""💸 Expenses!A5:J200""),13,2)="""","""",TEXT(INDEX(IMPORTRANGE(""1wF8uimz-gnzzmqfjHb8Ua7fudqcoq5SrFyToq2B2IO0"",""💸 Expenses!A5:J200""),13,2),""DD-MM-YYYY"")),"""")"),"")</f>
        <v/>
      </c>
      <c r="C53" s="83" t="str">
        <f>IFERROR(__xludf.DUMMYFUNCTION("IFERROR(INDEX(IMPORTRANGE(""1wF8uimz-gnzzmqfjHb8Ua7fudqcoq5SrFyToq2B2IO0"",""💸 Expenses!A5:J200""),13,3),"""")"),"")</f>
        <v/>
      </c>
      <c r="D53" s="83" t="str">
        <f>IFERROR(__xludf.DUMMYFUNCTION("IFERROR(INDEX(IMPORTRANGE(""1wF8uimz-gnzzmqfjHb8Ua7fudqcoq5SrFyToq2B2IO0"",""💸 Expenses!A5:J200""),13,4),"""")"),"")</f>
        <v/>
      </c>
      <c r="E53" s="83" t="str">
        <f>IFERROR(__xludf.DUMMYFUNCTION("IFERROR(INDEX(IMPORTRANGE(""1wF8uimz-gnzzmqfjHb8Ua7fudqcoq5SrFyToq2B2IO0"",""💸 Expenses!A5:J200""),13,5),"""")"),"")</f>
        <v/>
      </c>
      <c r="F53" s="84">
        <f>IFERROR(__xludf.DUMMYFUNCTION("IFERROR(IFERROR(INDEX(IMPORTRANGE(""1wF8uimz-gnzzmqfjHb8Ua7fudqcoq5SrFyToq2B2IO0"",""💸 Expenses!A5:J200""),13,6)*1,0),0)"),0.0)</f>
        <v>0</v>
      </c>
      <c r="G53" s="83" t="str">
        <f>IFERROR(__xludf.DUMMYFUNCTION("IFERROR(INDEX(IMPORTRANGE(""1wF8uimz-gnzzmqfjHb8Ua7fudqcoq5SrFyToq2B2IO0"",""💸 Expenses!A5:J200""),13,7),"""")"),"")</f>
        <v/>
      </c>
      <c r="H53" s="83" t="str">
        <f>IFERROR(__xludf.DUMMYFUNCTION("IFERROR(INDEX(IMPORTRANGE(""1wF8uimz-gnzzmqfjHb8Ua7fudqcoq5SrFyToq2B2IO0"",""💸 Expenses!A5:J200""),13,8),"""")"),"")</f>
        <v/>
      </c>
      <c r="I53" s="83" t="str">
        <f>IFERROR(__xludf.DUMMYFUNCTION("IFERROR(INDEX(IMPORTRANGE(""1wF8uimz-gnzzmqfjHb8Ua7fudqcoq5SrFyToq2B2IO0"",""💸 Expenses!A5:J200""),13,9),"""")"),"")</f>
        <v/>
      </c>
      <c r="J53" s="83" t="str">
        <f>IFERROR(__xludf.DUMMYFUNCTION("IFERROR(INDEX(IMPORTRANGE(""1wF8uimz-gnzzmqfjHb8Ua7fudqcoq5SrFyToq2B2IO0"",""💸 Expenses!A5:J200""),13,10),"""")"),"")</f>
        <v/>
      </c>
      <c r="K53" s="36"/>
      <c r="L53" s="36"/>
      <c r="M53" s="36"/>
      <c r="N53" s="36"/>
    </row>
    <row r="54" ht="18.0" customHeight="1">
      <c r="A54" s="54" t="str">
        <f>IFERROR(__xludf.DUMMYFUNCTION("IFERROR(INDEX(IMPORTRANGE(""1wF8uimz-gnzzmqfjHb8Ua7fudqcoq5SrFyToq2B2IO0"",""💸 Expenses!A5:J200""),14,1),"""")"),"")</f>
        <v/>
      </c>
      <c r="B54" s="85" t="str">
        <f>IFERROR(__xludf.DUMMYFUNCTION("IFERROR(IF(INDEX(IMPORTRANGE(""1wF8uimz-gnzzmqfjHb8Ua7fudqcoq5SrFyToq2B2IO0"",""💸 Expenses!A5:J200""),14,2)="""","""",TEXT(INDEX(IMPORTRANGE(""1wF8uimz-gnzzmqfjHb8Ua7fudqcoq5SrFyToq2B2IO0"",""💸 Expenses!A5:J200""),14,2),""DD-MM-YYYY"")),"""")"),"")</f>
        <v/>
      </c>
      <c r="C54" s="86" t="str">
        <f>IFERROR(__xludf.DUMMYFUNCTION("IFERROR(INDEX(IMPORTRANGE(""1wF8uimz-gnzzmqfjHb8Ua7fudqcoq5SrFyToq2B2IO0"",""💸 Expenses!A5:J200""),14,3),"""")"),"")</f>
        <v/>
      </c>
      <c r="D54" s="86" t="str">
        <f>IFERROR(__xludf.DUMMYFUNCTION("IFERROR(INDEX(IMPORTRANGE(""1wF8uimz-gnzzmqfjHb8Ua7fudqcoq5SrFyToq2B2IO0"",""💸 Expenses!A5:J200""),14,4),"""")"),"")</f>
        <v/>
      </c>
      <c r="E54" s="86" t="str">
        <f>IFERROR(__xludf.DUMMYFUNCTION("IFERROR(INDEX(IMPORTRANGE(""1wF8uimz-gnzzmqfjHb8Ua7fudqcoq5SrFyToq2B2IO0"",""💸 Expenses!A5:J200""),14,5),"""")"),"")</f>
        <v/>
      </c>
      <c r="F54" s="87">
        <f>IFERROR(__xludf.DUMMYFUNCTION("IFERROR(IFERROR(INDEX(IMPORTRANGE(""1wF8uimz-gnzzmqfjHb8Ua7fudqcoq5SrFyToq2B2IO0"",""💸 Expenses!A5:J200""),14,6)*1,0),0)"),0.0)</f>
        <v>0</v>
      </c>
      <c r="G54" s="86" t="str">
        <f>IFERROR(__xludf.DUMMYFUNCTION("IFERROR(INDEX(IMPORTRANGE(""1wF8uimz-gnzzmqfjHb8Ua7fudqcoq5SrFyToq2B2IO0"",""💸 Expenses!A5:J200""),14,7),"""")"),"")</f>
        <v/>
      </c>
      <c r="H54" s="86" t="str">
        <f>IFERROR(__xludf.DUMMYFUNCTION("IFERROR(INDEX(IMPORTRANGE(""1wF8uimz-gnzzmqfjHb8Ua7fudqcoq5SrFyToq2B2IO0"",""💸 Expenses!A5:J200""),14,8),"""")"),"")</f>
        <v/>
      </c>
      <c r="I54" s="86" t="str">
        <f>IFERROR(__xludf.DUMMYFUNCTION("IFERROR(INDEX(IMPORTRANGE(""1wF8uimz-gnzzmqfjHb8Ua7fudqcoq5SrFyToq2B2IO0"",""💸 Expenses!A5:J200""),14,9),"""")"),"")</f>
        <v/>
      </c>
      <c r="J54" s="86" t="str">
        <f>IFERROR(__xludf.DUMMYFUNCTION("IFERROR(INDEX(IMPORTRANGE(""1wF8uimz-gnzzmqfjHb8Ua7fudqcoq5SrFyToq2B2IO0"",""💸 Expenses!A5:J200""),14,10),"""")"),"")</f>
        <v/>
      </c>
      <c r="K54" s="37"/>
      <c r="L54" s="37"/>
      <c r="M54" s="37"/>
      <c r="N54" s="37"/>
    </row>
    <row r="55" ht="18.0" customHeight="1">
      <c r="A55" s="50" t="str">
        <f>IFERROR(__xludf.DUMMYFUNCTION("IFERROR(INDEX(IMPORTRANGE(""1wF8uimz-gnzzmqfjHb8Ua7fudqcoq5SrFyToq2B2IO0"",""💸 Expenses!A5:J200""),15,1),"""")"),"")</f>
        <v/>
      </c>
      <c r="B55" s="82" t="str">
        <f>IFERROR(__xludf.DUMMYFUNCTION("IFERROR(IF(INDEX(IMPORTRANGE(""1wF8uimz-gnzzmqfjHb8Ua7fudqcoq5SrFyToq2B2IO0"",""💸 Expenses!A5:J200""),15,2)="""","""",TEXT(INDEX(IMPORTRANGE(""1wF8uimz-gnzzmqfjHb8Ua7fudqcoq5SrFyToq2B2IO0"",""💸 Expenses!A5:J200""),15,2),""DD-MM-YYYY"")),"""")"),"")</f>
        <v/>
      </c>
      <c r="C55" s="83" t="str">
        <f>IFERROR(__xludf.DUMMYFUNCTION("IFERROR(INDEX(IMPORTRANGE(""1wF8uimz-gnzzmqfjHb8Ua7fudqcoq5SrFyToq2B2IO0"",""💸 Expenses!A5:J200""),15,3),"""")"),"")</f>
        <v/>
      </c>
      <c r="D55" s="83" t="str">
        <f>IFERROR(__xludf.DUMMYFUNCTION("IFERROR(INDEX(IMPORTRANGE(""1wF8uimz-gnzzmqfjHb8Ua7fudqcoq5SrFyToq2B2IO0"",""💸 Expenses!A5:J200""),15,4),"""")"),"")</f>
        <v/>
      </c>
      <c r="E55" s="83" t="str">
        <f>IFERROR(__xludf.DUMMYFUNCTION("IFERROR(INDEX(IMPORTRANGE(""1wF8uimz-gnzzmqfjHb8Ua7fudqcoq5SrFyToq2B2IO0"",""💸 Expenses!A5:J200""),15,5),"""")"),"")</f>
        <v/>
      </c>
      <c r="F55" s="84">
        <f>IFERROR(__xludf.DUMMYFUNCTION("IFERROR(IFERROR(INDEX(IMPORTRANGE(""1wF8uimz-gnzzmqfjHb8Ua7fudqcoq5SrFyToq2B2IO0"",""💸 Expenses!A5:J200""),15,6)*1,0),0)"),0.0)</f>
        <v>0</v>
      </c>
      <c r="G55" s="83" t="str">
        <f>IFERROR(__xludf.DUMMYFUNCTION("IFERROR(INDEX(IMPORTRANGE(""1wF8uimz-gnzzmqfjHb8Ua7fudqcoq5SrFyToq2B2IO0"",""💸 Expenses!A5:J200""),15,7),"""")"),"")</f>
        <v/>
      </c>
      <c r="H55" s="83" t="str">
        <f>IFERROR(__xludf.DUMMYFUNCTION("IFERROR(INDEX(IMPORTRANGE(""1wF8uimz-gnzzmqfjHb8Ua7fudqcoq5SrFyToq2B2IO0"",""💸 Expenses!A5:J200""),15,8),"""")"),"")</f>
        <v/>
      </c>
      <c r="I55" s="83" t="str">
        <f>IFERROR(__xludf.DUMMYFUNCTION("IFERROR(INDEX(IMPORTRANGE(""1wF8uimz-gnzzmqfjHb8Ua7fudqcoq5SrFyToq2B2IO0"",""💸 Expenses!A5:J200""),15,9),"""")"),"")</f>
        <v/>
      </c>
      <c r="J55" s="83" t="str">
        <f>IFERROR(__xludf.DUMMYFUNCTION("IFERROR(INDEX(IMPORTRANGE(""1wF8uimz-gnzzmqfjHb8Ua7fudqcoq5SrFyToq2B2IO0"",""💸 Expenses!A5:J200""),15,10),"""")"),"")</f>
        <v/>
      </c>
      <c r="K55" s="36"/>
      <c r="L55" s="36"/>
      <c r="M55" s="36"/>
      <c r="N55" s="36"/>
    </row>
    <row r="56" ht="18.0" customHeight="1">
      <c r="A56" s="54" t="str">
        <f>IFERROR(__xludf.DUMMYFUNCTION("IFERROR(INDEX(IMPORTRANGE(""1wF8uimz-gnzzmqfjHb8Ua7fudqcoq5SrFyToq2B2IO0"",""💸 Expenses!A5:J200""),16,1),"""")"),"")</f>
        <v/>
      </c>
      <c r="B56" s="85" t="str">
        <f>IFERROR(__xludf.DUMMYFUNCTION("IFERROR(IF(INDEX(IMPORTRANGE(""1wF8uimz-gnzzmqfjHb8Ua7fudqcoq5SrFyToq2B2IO0"",""💸 Expenses!A5:J200""),16,2)="""","""",TEXT(INDEX(IMPORTRANGE(""1wF8uimz-gnzzmqfjHb8Ua7fudqcoq5SrFyToq2B2IO0"",""💸 Expenses!A5:J200""),16,2),""DD-MM-YYYY"")),"""")"),"")</f>
        <v/>
      </c>
      <c r="C56" s="86" t="str">
        <f>IFERROR(__xludf.DUMMYFUNCTION("IFERROR(INDEX(IMPORTRANGE(""1wF8uimz-gnzzmqfjHb8Ua7fudqcoq5SrFyToq2B2IO0"",""💸 Expenses!A5:J200""),16,3),"""")"),"")</f>
        <v/>
      </c>
      <c r="D56" s="86" t="str">
        <f>IFERROR(__xludf.DUMMYFUNCTION("IFERROR(INDEX(IMPORTRANGE(""1wF8uimz-gnzzmqfjHb8Ua7fudqcoq5SrFyToq2B2IO0"",""💸 Expenses!A5:J200""),16,4),"""")"),"")</f>
        <v/>
      </c>
      <c r="E56" s="86" t="str">
        <f>IFERROR(__xludf.DUMMYFUNCTION("IFERROR(INDEX(IMPORTRANGE(""1wF8uimz-gnzzmqfjHb8Ua7fudqcoq5SrFyToq2B2IO0"",""💸 Expenses!A5:J200""),16,5),"""")"),"")</f>
        <v/>
      </c>
      <c r="F56" s="87">
        <f>IFERROR(__xludf.DUMMYFUNCTION("IFERROR(IFERROR(INDEX(IMPORTRANGE(""1wF8uimz-gnzzmqfjHb8Ua7fudqcoq5SrFyToq2B2IO0"",""💸 Expenses!A5:J200""),16,6)*1,0),0)"),0.0)</f>
        <v>0</v>
      </c>
      <c r="G56" s="86" t="str">
        <f>IFERROR(__xludf.DUMMYFUNCTION("IFERROR(INDEX(IMPORTRANGE(""1wF8uimz-gnzzmqfjHb8Ua7fudqcoq5SrFyToq2B2IO0"",""💸 Expenses!A5:J200""),16,7),"""")"),"")</f>
        <v/>
      </c>
      <c r="H56" s="86" t="str">
        <f>IFERROR(__xludf.DUMMYFUNCTION("IFERROR(INDEX(IMPORTRANGE(""1wF8uimz-gnzzmqfjHb8Ua7fudqcoq5SrFyToq2B2IO0"",""💸 Expenses!A5:J200""),16,8),"""")"),"")</f>
        <v/>
      </c>
      <c r="I56" s="86" t="str">
        <f>IFERROR(__xludf.DUMMYFUNCTION("IFERROR(INDEX(IMPORTRANGE(""1wF8uimz-gnzzmqfjHb8Ua7fudqcoq5SrFyToq2B2IO0"",""💸 Expenses!A5:J200""),16,9),"""")"),"")</f>
        <v/>
      </c>
      <c r="J56" s="86" t="str">
        <f>IFERROR(__xludf.DUMMYFUNCTION("IFERROR(INDEX(IMPORTRANGE(""1wF8uimz-gnzzmqfjHb8Ua7fudqcoq5SrFyToq2B2IO0"",""💸 Expenses!A5:J200""),16,10),"""")"),"")</f>
        <v/>
      </c>
      <c r="K56" s="37"/>
      <c r="L56" s="37"/>
      <c r="M56" s="37"/>
      <c r="N56" s="37"/>
    </row>
    <row r="57" ht="18.0" customHeight="1">
      <c r="A57" s="50" t="str">
        <f>IFERROR(__xludf.DUMMYFUNCTION("IFERROR(INDEX(IMPORTRANGE(""1wF8uimz-gnzzmqfjHb8Ua7fudqcoq5SrFyToq2B2IO0"",""💸 Expenses!A5:J200""),17,1),"""")"),"")</f>
        <v/>
      </c>
      <c r="B57" s="82" t="str">
        <f>IFERROR(__xludf.DUMMYFUNCTION("IFERROR(IF(INDEX(IMPORTRANGE(""1wF8uimz-gnzzmqfjHb8Ua7fudqcoq5SrFyToq2B2IO0"",""💸 Expenses!A5:J200""),17,2)="""","""",TEXT(INDEX(IMPORTRANGE(""1wF8uimz-gnzzmqfjHb8Ua7fudqcoq5SrFyToq2B2IO0"",""💸 Expenses!A5:J200""),17,2),""DD-MM-YYYY"")),"""")"),"")</f>
        <v/>
      </c>
      <c r="C57" s="83" t="str">
        <f>IFERROR(__xludf.DUMMYFUNCTION("IFERROR(INDEX(IMPORTRANGE(""1wF8uimz-gnzzmqfjHb8Ua7fudqcoq5SrFyToq2B2IO0"",""💸 Expenses!A5:J200""),17,3),"""")"),"")</f>
        <v/>
      </c>
      <c r="D57" s="83" t="str">
        <f>IFERROR(__xludf.DUMMYFUNCTION("IFERROR(INDEX(IMPORTRANGE(""1wF8uimz-gnzzmqfjHb8Ua7fudqcoq5SrFyToq2B2IO0"",""💸 Expenses!A5:J200""),17,4),"""")"),"")</f>
        <v/>
      </c>
      <c r="E57" s="83" t="str">
        <f>IFERROR(__xludf.DUMMYFUNCTION("IFERROR(INDEX(IMPORTRANGE(""1wF8uimz-gnzzmqfjHb8Ua7fudqcoq5SrFyToq2B2IO0"",""💸 Expenses!A5:J200""),17,5),"""")"),"")</f>
        <v/>
      </c>
      <c r="F57" s="84">
        <f>IFERROR(__xludf.DUMMYFUNCTION("IFERROR(IFERROR(INDEX(IMPORTRANGE(""1wF8uimz-gnzzmqfjHb8Ua7fudqcoq5SrFyToq2B2IO0"",""💸 Expenses!A5:J200""),17,6)*1,0),0)"),0.0)</f>
        <v>0</v>
      </c>
      <c r="G57" s="83" t="str">
        <f>IFERROR(__xludf.DUMMYFUNCTION("IFERROR(INDEX(IMPORTRANGE(""1wF8uimz-gnzzmqfjHb8Ua7fudqcoq5SrFyToq2B2IO0"",""💸 Expenses!A5:J200""),17,7),"""")"),"")</f>
        <v/>
      </c>
      <c r="H57" s="83" t="str">
        <f>IFERROR(__xludf.DUMMYFUNCTION("IFERROR(INDEX(IMPORTRANGE(""1wF8uimz-gnzzmqfjHb8Ua7fudqcoq5SrFyToq2B2IO0"",""💸 Expenses!A5:J200""),17,8),"""")"),"")</f>
        <v/>
      </c>
      <c r="I57" s="83" t="str">
        <f>IFERROR(__xludf.DUMMYFUNCTION("IFERROR(INDEX(IMPORTRANGE(""1wF8uimz-gnzzmqfjHb8Ua7fudqcoq5SrFyToq2B2IO0"",""💸 Expenses!A5:J200""),17,9),"""")"),"")</f>
        <v/>
      </c>
      <c r="J57" s="83" t="str">
        <f>IFERROR(__xludf.DUMMYFUNCTION("IFERROR(INDEX(IMPORTRANGE(""1wF8uimz-gnzzmqfjHb8Ua7fudqcoq5SrFyToq2B2IO0"",""💸 Expenses!A5:J200""),17,10),"""")"),"")</f>
        <v/>
      </c>
      <c r="K57" s="36"/>
      <c r="L57" s="36"/>
      <c r="M57" s="36"/>
      <c r="N57" s="36"/>
    </row>
    <row r="58" ht="18.0" customHeight="1">
      <c r="A58" s="54" t="str">
        <f>IFERROR(__xludf.DUMMYFUNCTION("IFERROR(INDEX(IMPORTRANGE(""1wF8uimz-gnzzmqfjHb8Ua7fudqcoq5SrFyToq2B2IO0"",""💸 Expenses!A5:J200""),18,1),"""")"),"")</f>
        <v/>
      </c>
      <c r="B58" s="85" t="str">
        <f>IFERROR(__xludf.DUMMYFUNCTION("IFERROR(IF(INDEX(IMPORTRANGE(""1wF8uimz-gnzzmqfjHb8Ua7fudqcoq5SrFyToq2B2IO0"",""💸 Expenses!A5:J200""),18,2)="""","""",TEXT(INDEX(IMPORTRANGE(""1wF8uimz-gnzzmqfjHb8Ua7fudqcoq5SrFyToq2B2IO0"",""💸 Expenses!A5:J200""),18,2),""DD-MM-YYYY"")),"""")"),"")</f>
        <v/>
      </c>
      <c r="C58" s="86" t="str">
        <f>IFERROR(__xludf.DUMMYFUNCTION("IFERROR(INDEX(IMPORTRANGE(""1wF8uimz-gnzzmqfjHb8Ua7fudqcoq5SrFyToq2B2IO0"",""💸 Expenses!A5:J200""),18,3),"""")"),"")</f>
        <v/>
      </c>
      <c r="D58" s="86" t="str">
        <f>IFERROR(__xludf.DUMMYFUNCTION("IFERROR(INDEX(IMPORTRANGE(""1wF8uimz-gnzzmqfjHb8Ua7fudqcoq5SrFyToq2B2IO0"",""💸 Expenses!A5:J200""),18,4),"""")"),"")</f>
        <v/>
      </c>
      <c r="E58" s="86" t="str">
        <f>IFERROR(__xludf.DUMMYFUNCTION("IFERROR(INDEX(IMPORTRANGE(""1wF8uimz-gnzzmqfjHb8Ua7fudqcoq5SrFyToq2B2IO0"",""💸 Expenses!A5:J200""),18,5),"""")"),"")</f>
        <v/>
      </c>
      <c r="F58" s="87">
        <f>IFERROR(__xludf.DUMMYFUNCTION("IFERROR(IFERROR(INDEX(IMPORTRANGE(""1wF8uimz-gnzzmqfjHb8Ua7fudqcoq5SrFyToq2B2IO0"",""💸 Expenses!A5:J200""),18,6)*1,0),0)"),0.0)</f>
        <v>0</v>
      </c>
      <c r="G58" s="86" t="str">
        <f>IFERROR(__xludf.DUMMYFUNCTION("IFERROR(INDEX(IMPORTRANGE(""1wF8uimz-gnzzmqfjHb8Ua7fudqcoq5SrFyToq2B2IO0"",""💸 Expenses!A5:J200""),18,7),"""")"),"")</f>
        <v/>
      </c>
      <c r="H58" s="86" t="str">
        <f>IFERROR(__xludf.DUMMYFUNCTION("IFERROR(INDEX(IMPORTRANGE(""1wF8uimz-gnzzmqfjHb8Ua7fudqcoq5SrFyToq2B2IO0"",""💸 Expenses!A5:J200""),18,8),"""")"),"")</f>
        <v/>
      </c>
      <c r="I58" s="86" t="str">
        <f>IFERROR(__xludf.DUMMYFUNCTION("IFERROR(INDEX(IMPORTRANGE(""1wF8uimz-gnzzmqfjHb8Ua7fudqcoq5SrFyToq2B2IO0"",""💸 Expenses!A5:J200""),18,9),"""")"),"")</f>
        <v/>
      </c>
      <c r="J58" s="86" t="str">
        <f>IFERROR(__xludf.DUMMYFUNCTION("IFERROR(INDEX(IMPORTRANGE(""1wF8uimz-gnzzmqfjHb8Ua7fudqcoq5SrFyToq2B2IO0"",""💸 Expenses!A5:J200""),18,10),"""")"),"")</f>
        <v/>
      </c>
      <c r="K58" s="37"/>
      <c r="L58" s="37"/>
      <c r="M58" s="37"/>
      <c r="N58" s="37"/>
    </row>
    <row r="59" ht="18.0" customHeight="1">
      <c r="A59" s="50" t="str">
        <f>IFERROR(__xludf.DUMMYFUNCTION("IFERROR(INDEX(IMPORTRANGE(""1wF8uimz-gnzzmqfjHb8Ua7fudqcoq5SrFyToq2B2IO0"",""💸 Expenses!A5:J200""),19,1),"""")"),"")</f>
        <v/>
      </c>
      <c r="B59" s="82" t="str">
        <f>IFERROR(__xludf.DUMMYFUNCTION("IFERROR(IF(INDEX(IMPORTRANGE(""1wF8uimz-gnzzmqfjHb8Ua7fudqcoq5SrFyToq2B2IO0"",""💸 Expenses!A5:J200""),19,2)="""","""",TEXT(INDEX(IMPORTRANGE(""1wF8uimz-gnzzmqfjHb8Ua7fudqcoq5SrFyToq2B2IO0"",""💸 Expenses!A5:J200""),19,2),""DD-MM-YYYY"")),"""")"),"")</f>
        <v/>
      </c>
      <c r="C59" s="83" t="str">
        <f>IFERROR(__xludf.DUMMYFUNCTION("IFERROR(INDEX(IMPORTRANGE(""1wF8uimz-gnzzmqfjHb8Ua7fudqcoq5SrFyToq2B2IO0"",""💸 Expenses!A5:J200""),19,3),"""")"),"")</f>
        <v/>
      </c>
      <c r="D59" s="83" t="str">
        <f>IFERROR(__xludf.DUMMYFUNCTION("IFERROR(INDEX(IMPORTRANGE(""1wF8uimz-gnzzmqfjHb8Ua7fudqcoq5SrFyToq2B2IO0"",""💸 Expenses!A5:J200""),19,4),"""")"),"")</f>
        <v/>
      </c>
      <c r="E59" s="83" t="str">
        <f>IFERROR(__xludf.DUMMYFUNCTION("IFERROR(INDEX(IMPORTRANGE(""1wF8uimz-gnzzmqfjHb8Ua7fudqcoq5SrFyToq2B2IO0"",""💸 Expenses!A5:J200""),19,5),"""")"),"")</f>
        <v/>
      </c>
      <c r="F59" s="84">
        <f>IFERROR(__xludf.DUMMYFUNCTION("IFERROR(IFERROR(INDEX(IMPORTRANGE(""1wF8uimz-gnzzmqfjHb8Ua7fudqcoq5SrFyToq2B2IO0"",""💸 Expenses!A5:J200""),19,6)*1,0),0)"),0.0)</f>
        <v>0</v>
      </c>
      <c r="G59" s="83" t="str">
        <f>IFERROR(__xludf.DUMMYFUNCTION("IFERROR(INDEX(IMPORTRANGE(""1wF8uimz-gnzzmqfjHb8Ua7fudqcoq5SrFyToq2B2IO0"",""💸 Expenses!A5:J200""),19,7),"""")"),"")</f>
        <v/>
      </c>
      <c r="H59" s="83" t="str">
        <f>IFERROR(__xludf.DUMMYFUNCTION("IFERROR(INDEX(IMPORTRANGE(""1wF8uimz-gnzzmqfjHb8Ua7fudqcoq5SrFyToq2B2IO0"",""💸 Expenses!A5:J200""),19,8),"""")"),"")</f>
        <v/>
      </c>
      <c r="I59" s="83" t="str">
        <f>IFERROR(__xludf.DUMMYFUNCTION("IFERROR(INDEX(IMPORTRANGE(""1wF8uimz-gnzzmqfjHb8Ua7fudqcoq5SrFyToq2B2IO0"",""💸 Expenses!A5:J200""),19,9),"""")"),"")</f>
        <v/>
      </c>
      <c r="J59" s="83" t="str">
        <f>IFERROR(__xludf.DUMMYFUNCTION("IFERROR(INDEX(IMPORTRANGE(""1wF8uimz-gnzzmqfjHb8Ua7fudqcoq5SrFyToq2B2IO0"",""💸 Expenses!A5:J200""),19,10),"""")"),"")</f>
        <v/>
      </c>
      <c r="K59" s="36"/>
      <c r="L59" s="36"/>
      <c r="M59" s="36"/>
      <c r="N59" s="36"/>
    </row>
    <row r="60" ht="18.0" customHeight="1">
      <c r="A60" s="54" t="str">
        <f>IFERROR(__xludf.DUMMYFUNCTION("IFERROR(INDEX(IMPORTRANGE(""1wF8uimz-gnzzmqfjHb8Ua7fudqcoq5SrFyToq2B2IO0"",""💸 Expenses!A5:J200""),20,1),"""")"),"")</f>
        <v/>
      </c>
      <c r="B60" s="85" t="str">
        <f>IFERROR(__xludf.DUMMYFUNCTION("IFERROR(IF(INDEX(IMPORTRANGE(""1wF8uimz-gnzzmqfjHb8Ua7fudqcoq5SrFyToq2B2IO0"",""💸 Expenses!A5:J200""),20,2)="""","""",TEXT(INDEX(IMPORTRANGE(""1wF8uimz-gnzzmqfjHb8Ua7fudqcoq5SrFyToq2B2IO0"",""💸 Expenses!A5:J200""),20,2),""DD-MM-YYYY"")),"""")"),"")</f>
        <v/>
      </c>
      <c r="C60" s="86" t="str">
        <f>IFERROR(__xludf.DUMMYFUNCTION("IFERROR(INDEX(IMPORTRANGE(""1wF8uimz-gnzzmqfjHb8Ua7fudqcoq5SrFyToq2B2IO0"",""💸 Expenses!A5:J200""),20,3),"""")"),"")</f>
        <v/>
      </c>
      <c r="D60" s="86" t="str">
        <f>IFERROR(__xludf.DUMMYFUNCTION("IFERROR(INDEX(IMPORTRANGE(""1wF8uimz-gnzzmqfjHb8Ua7fudqcoq5SrFyToq2B2IO0"",""💸 Expenses!A5:J200""),20,4),"""")"),"")</f>
        <v/>
      </c>
      <c r="E60" s="86" t="str">
        <f>IFERROR(__xludf.DUMMYFUNCTION("IFERROR(INDEX(IMPORTRANGE(""1wF8uimz-gnzzmqfjHb8Ua7fudqcoq5SrFyToq2B2IO0"",""💸 Expenses!A5:J200""),20,5),"""")"),"")</f>
        <v/>
      </c>
      <c r="F60" s="87">
        <f>IFERROR(__xludf.DUMMYFUNCTION("IFERROR(IFERROR(INDEX(IMPORTRANGE(""1wF8uimz-gnzzmqfjHb8Ua7fudqcoq5SrFyToq2B2IO0"",""💸 Expenses!A5:J200""),20,6)*1,0),0)"),0.0)</f>
        <v>0</v>
      </c>
      <c r="G60" s="86" t="str">
        <f>IFERROR(__xludf.DUMMYFUNCTION("IFERROR(INDEX(IMPORTRANGE(""1wF8uimz-gnzzmqfjHb8Ua7fudqcoq5SrFyToq2B2IO0"",""💸 Expenses!A5:J200""),20,7),"""")"),"")</f>
        <v/>
      </c>
      <c r="H60" s="86" t="str">
        <f>IFERROR(__xludf.DUMMYFUNCTION("IFERROR(INDEX(IMPORTRANGE(""1wF8uimz-gnzzmqfjHb8Ua7fudqcoq5SrFyToq2B2IO0"",""💸 Expenses!A5:J200""),20,8),"""")"),"")</f>
        <v/>
      </c>
      <c r="I60" s="86" t="str">
        <f>IFERROR(__xludf.DUMMYFUNCTION("IFERROR(INDEX(IMPORTRANGE(""1wF8uimz-gnzzmqfjHb8Ua7fudqcoq5SrFyToq2B2IO0"",""💸 Expenses!A5:J200""),20,9),"""")"),"")</f>
        <v/>
      </c>
      <c r="J60" s="86" t="str">
        <f>IFERROR(__xludf.DUMMYFUNCTION("IFERROR(INDEX(IMPORTRANGE(""1wF8uimz-gnzzmqfjHb8Ua7fudqcoq5SrFyToq2B2IO0"",""💸 Expenses!A5:J200""),20,10),"""")"),"")</f>
        <v/>
      </c>
      <c r="K60" s="37"/>
      <c r="L60" s="37"/>
      <c r="M60" s="37"/>
      <c r="N60" s="37"/>
    </row>
    <row r="61" ht="18.0" customHeight="1">
      <c r="A61" s="50" t="str">
        <f>IFERROR(__xludf.DUMMYFUNCTION("IFERROR(INDEX(IMPORTRANGE(""1wF8uimz-gnzzmqfjHb8Ua7fudqcoq5SrFyToq2B2IO0"",""💸 Expenses!A5:J200""),21,1),"""")"),"")</f>
        <v/>
      </c>
      <c r="B61" s="82" t="str">
        <f>IFERROR(__xludf.DUMMYFUNCTION("IFERROR(IF(INDEX(IMPORTRANGE(""1wF8uimz-gnzzmqfjHb8Ua7fudqcoq5SrFyToq2B2IO0"",""💸 Expenses!A5:J200""),21,2)="""","""",TEXT(INDEX(IMPORTRANGE(""1wF8uimz-gnzzmqfjHb8Ua7fudqcoq5SrFyToq2B2IO0"",""💸 Expenses!A5:J200""),21,2),""DD-MM-YYYY"")),"""")"),"")</f>
        <v/>
      </c>
      <c r="C61" s="83" t="str">
        <f>IFERROR(__xludf.DUMMYFUNCTION("IFERROR(INDEX(IMPORTRANGE(""1wF8uimz-gnzzmqfjHb8Ua7fudqcoq5SrFyToq2B2IO0"",""💸 Expenses!A5:J200""),21,3),"""")"),"")</f>
        <v/>
      </c>
      <c r="D61" s="83" t="str">
        <f>IFERROR(__xludf.DUMMYFUNCTION("IFERROR(INDEX(IMPORTRANGE(""1wF8uimz-gnzzmqfjHb8Ua7fudqcoq5SrFyToq2B2IO0"",""💸 Expenses!A5:J200""),21,4),"""")"),"")</f>
        <v/>
      </c>
      <c r="E61" s="83" t="str">
        <f>IFERROR(__xludf.DUMMYFUNCTION("IFERROR(INDEX(IMPORTRANGE(""1wF8uimz-gnzzmqfjHb8Ua7fudqcoq5SrFyToq2B2IO0"",""💸 Expenses!A5:J200""),21,5),"""")"),"")</f>
        <v/>
      </c>
      <c r="F61" s="84">
        <f>IFERROR(__xludf.DUMMYFUNCTION("IFERROR(IFERROR(INDEX(IMPORTRANGE(""1wF8uimz-gnzzmqfjHb8Ua7fudqcoq5SrFyToq2B2IO0"",""💸 Expenses!A5:J200""),21,6)*1,0),0)"),0.0)</f>
        <v>0</v>
      </c>
      <c r="G61" s="83" t="str">
        <f>IFERROR(__xludf.DUMMYFUNCTION("IFERROR(INDEX(IMPORTRANGE(""1wF8uimz-gnzzmqfjHb8Ua7fudqcoq5SrFyToq2B2IO0"",""💸 Expenses!A5:J200""),21,7),"""")"),"")</f>
        <v/>
      </c>
      <c r="H61" s="83" t="str">
        <f>IFERROR(__xludf.DUMMYFUNCTION("IFERROR(INDEX(IMPORTRANGE(""1wF8uimz-gnzzmqfjHb8Ua7fudqcoq5SrFyToq2B2IO0"",""💸 Expenses!A5:J200""),21,8),"""")"),"")</f>
        <v/>
      </c>
      <c r="I61" s="83" t="str">
        <f>IFERROR(__xludf.DUMMYFUNCTION("IFERROR(INDEX(IMPORTRANGE(""1wF8uimz-gnzzmqfjHb8Ua7fudqcoq5SrFyToq2B2IO0"",""💸 Expenses!A5:J200""),21,9),"""")"),"")</f>
        <v/>
      </c>
      <c r="J61" s="83" t="str">
        <f>IFERROR(__xludf.DUMMYFUNCTION("IFERROR(INDEX(IMPORTRANGE(""1wF8uimz-gnzzmqfjHb8Ua7fudqcoq5SrFyToq2B2IO0"",""💸 Expenses!A5:J200""),21,10),"""")"),"")</f>
        <v/>
      </c>
      <c r="K61" s="36"/>
      <c r="L61" s="36"/>
      <c r="M61" s="36"/>
      <c r="N61" s="36"/>
    </row>
    <row r="62" ht="18.0" customHeight="1">
      <c r="A62" s="54" t="str">
        <f>IFERROR(__xludf.DUMMYFUNCTION("IFERROR(INDEX(IMPORTRANGE(""1wF8uimz-gnzzmqfjHb8Ua7fudqcoq5SrFyToq2B2IO0"",""💸 Expenses!A5:J200""),22,1),"""")"),"")</f>
        <v/>
      </c>
      <c r="B62" s="85" t="str">
        <f>IFERROR(__xludf.DUMMYFUNCTION("IFERROR(IF(INDEX(IMPORTRANGE(""1wF8uimz-gnzzmqfjHb8Ua7fudqcoq5SrFyToq2B2IO0"",""💸 Expenses!A5:J200""),22,2)="""","""",TEXT(INDEX(IMPORTRANGE(""1wF8uimz-gnzzmqfjHb8Ua7fudqcoq5SrFyToq2B2IO0"",""💸 Expenses!A5:J200""),22,2),""DD-MM-YYYY"")),"""")"),"")</f>
        <v/>
      </c>
      <c r="C62" s="86" t="str">
        <f>IFERROR(__xludf.DUMMYFUNCTION("IFERROR(INDEX(IMPORTRANGE(""1wF8uimz-gnzzmqfjHb8Ua7fudqcoq5SrFyToq2B2IO0"",""💸 Expenses!A5:J200""),22,3),"""")"),"")</f>
        <v/>
      </c>
      <c r="D62" s="86" t="str">
        <f>IFERROR(__xludf.DUMMYFUNCTION("IFERROR(INDEX(IMPORTRANGE(""1wF8uimz-gnzzmqfjHb8Ua7fudqcoq5SrFyToq2B2IO0"",""💸 Expenses!A5:J200""),22,4),"""")"),"")</f>
        <v/>
      </c>
      <c r="E62" s="86" t="str">
        <f>IFERROR(__xludf.DUMMYFUNCTION("IFERROR(INDEX(IMPORTRANGE(""1wF8uimz-gnzzmqfjHb8Ua7fudqcoq5SrFyToq2B2IO0"",""💸 Expenses!A5:J200""),22,5),"""")"),"")</f>
        <v/>
      </c>
      <c r="F62" s="87">
        <f>IFERROR(__xludf.DUMMYFUNCTION("IFERROR(IFERROR(INDEX(IMPORTRANGE(""1wF8uimz-gnzzmqfjHb8Ua7fudqcoq5SrFyToq2B2IO0"",""💸 Expenses!A5:J200""),22,6)*1,0),0)"),0.0)</f>
        <v>0</v>
      </c>
      <c r="G62" s="86" t="str">
        <f>IFERROR(__xludf.DUMMYFUNCTION("IFERROR(INDEX(IMPORTRANGE(""1wF8uimz-gnzzmqfjHb8Ua7fudqcoq5SrFyToq2B2IO0"",""💸 Expenses!A5:J200""),22,7),"""")"),"")</f>
        <v/>
      </c>
      <c r="H62" s="86" t="str">
        <f>IFERROR(__xludf.DUMMYFUNCTION("IFERROR(INDEX(IMPORTRANGE(""1wF8uimz-gnzzmqfjHb8Ua7fudqcoq5SrFyToq2B2IO0"",""💸 Expenses!A5:J200""),22,8),"""")"),"")</f>
        <v/>
      </c>
      <c r="I62" s="86" t="str">
        <f>IFERROR(__xludf.DUMMYFUNCTION("IFERROR(INDEX(IMPORTRANGE(""1wF8uimz-gnzzmqfjHb8Ua7fudqcoq5SrFyToq2B2IO0"",""💸 Expenses!A5:J200""),22,9),"""")"),"")</f>
        <v/>
      </c>
      <c r="J62" s="86" t="str">
        <f>IFERROR(__xludf.DUMMYFUNCTION("IFERROR(INDEX(IMPORTRANGE(""1wF8uimz-gnzzmqfjHb8Ua7fudqcoq5SrFyToq2B2IO0"",""💸 Expenses!A5:J200""),22,10),"""")"),"")</f>
        <v/>
      </c>
      <c r="K62" s="37"/>
      <c r="L62" s="37"/>
      <c r="M62" s="37"/>
      <c r="N62" s="37"/>
    </row>
    <row r="63" ht="18.0" customHeight="1">
      <c r="A63" s="50" t="str">
        <f>IFERROR(__xludf.DUMMYFUNCTION("IFERROR(INDEX(IMPORTRANGE(""1wF8uimz-gnzzmqfjHb8Ua7fudqcoq5SrFyToq2B2IO0"",""💸 Expenses!A5:J200""),23,1),"""")"),"")</f>
        <v/>
      </c>
      <c r="B63" s="82" t="str">
        <f>IFERROR(__xludf.DUMMYFUNCTION("IFERROR(IF(INDEX(IMPORTRANGE(""1wF8uimz-gnzzmqfjHb8Ua7fudqcoq5SrFyToq2B2IO0"",""💸 Expenses!A5:J200""),23,2)="""","""",TEXT(INDEX(IMPORTRANGE(""1wF8uimz-gnzzmqfjHb8Ua7fudqcoq5SrFyToq2B2IO0"",""💸 Expenses!A5:J200""),23,2),""DD-MM-YYYY"")),"""")"),"")</f>
        <v/>
      </c>
      <c r="C63" s="83" t="str">
        <f>IFERROR(__xludf.DUMMYFUNCTION("IFERROR(INDEX(IMPORTRANGE(""1wF8uimz-gnzzmqfjHb8Ua7fudqcoq5SrFyToq2B2IO0"",""💸 Expenses!A5:J200""),23,3),"""")"),"")</f>
        <v/>
      </c>
      <c r="D63" s="83" t="str">
        <f>IFERROR(__xludf.DUMMYFUNCTION("IFERROR(INDEX(IMPORTRANGE(""1wF8uimz-gnzzmqfjHb8Ua7fudqcoq5SrFyToq2B2IO0"",""💸 Expenses!A5:J200""),23,4),"""")"),"")</f>
        <v/>
      </c>
      <c r="E63" s="83" t="str">
        <f>IFERROR(__xludf.DUMMYFUNCTION("IFERROR(INDEX(IMPORTRANGE(""1wF8uimz-gnzzmqfjHb8Ua7fudqcoq5SrFyToq2B2IO0"",""💸 Expenses!A5:J200""),23,5),"""")"),"")</f>
        <v/>
      </c>
      <c r="F63" s="84">
        <f>IFERROR(__xludf.DUMMYFUNCTION("IFERROR(IFERROR(INDEX(IMPORTRANGE(""1wF8uimz-gnzzmqfjHb8Ua7fudqcoq5SrFyToq2B2IO0"",""💸 Expenses!A5:J200""),23,6)*1,0),0)"),0.0)</f>
        <v>0</v>
      </c>
      <c r="G63" s="83" t="str">
        <f>IFERROR(__xludf.DUMMYFUNCTION("IFERROR(INDEX(IMPORTRANGE(""1wF8uimz-gnzzmqfjHb8Ua7fudqcoq5SrFyToq2B2IO0"",""💸 Expenses!A5:J200""),23,7),"""")"),"")</f>
        <v/>
      </c>
      <c r="H63" s="83" t="str">
        <f>IFERROR(__xludf.DUMMYFUNCTION("IFERROR(INDEX(IMPORTRANGE(""1wF8uimz-gnzzmqfjHb8Ua7fudqcoq5SrFyToq2B2IO0"",""💸 Expenses!A5:J200""),23,8),"""")"),"")</f>
        <v/>
      </c>
      <c r="I63" s="83" t="str">
        <f>IFERROR(__xludf.DUMMYFUNCTION("IFERROR(INDEX(IMPORTRANGE(""1wF8uimz-gnzzmqfjHb8Ua7fudqcoq5SrFyToq2B2IO0"",""💸 Expenses!A5:J200""),23,9),"""")"),"")</f>
        <v/>
      </c>
      <c r="J63" s="83" t="str">
        <f>IFERROR(__xludf.DUMMYFUNCTION("IFERROR(INDEX(IMPORTRANGE(""1wF8uimz-gnzzmqfjHb8Ua7fudqcoq5SrFyToq2B2IO0"",""💸 Expenses!A5:J200""),23,10),"""")"),"")</f>
        <v/>
      </c>
      <c r="K63" s="36"/>
      <c r="L63" s="36"/>
      <c r="M63" s="36"/>
      <c r="N63" s="36"/>
    </row>
    <row r="64" ht="18.0" customHeight="1">
      <c r="A64" s="54" t="str">
        <f>IFERROR(__xludf.DUMMYFUNCTION("IFERROR(INDEX(IMPORTRANGE(""1wF8uimz-gnzzmqfjHb8Ua7fudqcoq5SrFyToq2B2IO0"",""💸 Expenses!A5:J200""),24,1),"""")"),"")</f>
        <v/>
      </c>
      <c r="B64" s="85" t="str">
        <f>IFERROR(__xludf.DUMMYFUNCTION("IFERROR(IF(INDEX(IMPORTRANGE(""1wF8uimz-gnzzmqfjHb8Ua7fudqcoq5SrFyToq2B2IO0"",""💸 Expenses!A5:J200""),24,2)="""","""",TEXT(INDEX(IMPORTRANGE(""1wF8uimz-gnzzmqfjHb8Ua7fudqcoq5SrFyToq2B2IO0"",""💸 Expenses!A5:J200""),24,2),""DD-MM-YYYY"")),"""")"),"")</f>
        <v/>
      </c>
      <c r="C64" s="86" t="str">
        <f>IFERROR(__xludf.DUMMYFUNCTION("IFERROR(INDEX(IMPORTRANGE(""1wF8uimz-gnzzmqfjHb8Ua7fudqcoq5SrFyToq2B2IO0"",""💸 Expenses!A5:J200""),24,3),"""")"),"")</f>
        <v/>
      </c>
      <c r="D64" s="86" t="str">
        <f>IFERROR(__xludf.DUMMYFUNCTION("IFERROR(INDEX(IMPORTRANGE(""1wF8uimz-gnzzmqfjHb8Ua7fudqcoq5SrFyToq2B2IO0"",""💸 Expenses!A5:J200""),24,4),"""")"),"")</f>
        <v/>
      </c>
      <c r="E64" s="86" t="str">
        <f>IFERROR(__xludf.DUMMYFUNCTION("IFERROR(INDEX(IMPORTRANGE(""1wF8uimz-gnzzmqfjHb8Ua7fudqcoq5SrFyToq2B2IO0"",""💸 Expenses!A5:J200""),24,5),"""")"),"")</f>
        <v/>
      </c>
      <c r="F64" s="87">
        <f>IFERROR(__xludf.DUMMYFUNCTION("IFERROR(IFERROR(INDEX(IMPORTRANGE(""1wF8uimz-gnzzmqfjHb8Ua7fudqcoq5SrFyToq2B2IO0"",""💸 Expenses!A5:J200""),24,6)*1,0),0)"),0.0)</f>
        <v>0</v>
      </c>
      <c r="G64" s="86" t="str">
        <f>IFERROR(__xludf.DUMMYFUNCTION("IFERROR(INDEX(IMPORTRANGE(""1wF8uimz-gnzzmqfjHb8Ua7fudqcoq5SrFyToq2B2IO0"",""💸 Expenses!A5:J200""),24,7),"""")"),"")</f>
        <v/>
      </c>
      <c r="H64" s="86" t="str">
        <f>IFERROR(__xludf.DUMMYFUNCTION("IFERROR(INDEX(IMPORTRANGE(""1wF8uimz-gnzzmqfjHb8Ua7fudqcoq5SrFyToq2B2IO0"",""💸 Expenses!A5:J200""),24,8),"""")"),"")</f>
        <v/>
      </c>
      <c r="I64" s="86" t="str">
        <f>IFERROR(__xludf.DUMMYFUNCTION("IFERROR(INDEX(IMPORTRANGE(""1wF8uimz-gnzzmqfjHb8Ua7fudqcoq5SrFyToq2B2IO0"",""💸 Expenses!A5:J200""),24,9),"""")"),"")</f>
        <v/>
      </c>
      <c r="J64" s="86" t="str">
        <f>IFERROR(__xludf.DUMMYFUNCTION("IFERROR(INDEX(IMPORTRANGE(""1wF8uimz-gnzzmqfjHb8Ua7fudqcoq5SrFyToq2B2IO0"",""💸 Expenses!A5:J200""),24,10),"""")"),"")</f>
        <v/>
      </c>
      <c r="K64" s="37"/>
      <c r="L64" s="37"/>
      <c r="M64" s="37"/>
      <c r="N64" s="37"/>
    </row>
    <row r="65" ht="18.0" customHeight="1">
      <c r="A65" s="50" t="str">
        <f>IFERROR(__xludf.DUMMYFUNCTION("IFERROR(INDEX(IMPORTRANGE(""1wF8uimz-gnzzmqfjHb8Ua7fudqcoq5SrFyToq2B2IO0"",""💸 Expenses!A5:J200""),25,1),"""")"),"")</f>
        <v/>
      </c>
      <c r="B65" s="82" t="str">
        <f>IFERROR(__xludf.DUMMYFUNCTION("IFERROR(IF(INDEX(IMPORTRANGE(""1wF8uimz-gnzzmqfjHb8Ua7fudqcoq5SrFyToq2B2IO0"",""💸 Expenses!A5:J200""),25,2)="""","""",TEXT(INDEX(IMPORTRANGE(""1wF8uimz-gnzzmqfjHb8Ua7fudqcoq5SrFyToq2B2IO0"",""💸 Expenses!A5:J200""),25,2),""DD-MM-YYYY"")),"""")"),"")</f>
        <v/>
      </c>
      <c r="C65" s="83" t="str">
        <f>IFERROR(__xludf.DUMMYFUNCTION("IFERROR(INDEX(IMPORTRANGE(""1wF8uimz-gnzzmqfjHb8Ua7fudqcoq5SrFyToq2B2IO0"",""💸 Expenses!A5:J200""),25,3),"""")"),"")</f>
        <v/>
      </c>
      <c r="D65" s="83" t="str">
        <f>IFERROR(__xludf.DUMMYFUNCTION("IFERROR(INDEX(IMPORTRANGE(""1wF8uimz-gnzzmqfjHb8Ua7fudqcoq5SrFyToq2B2IO0"",""💸 Expenses!A5:J200""),25,4),"""")"),"")</f>
        <v/>
      </c>
      <c r="E65" s="83" t="str">
        <f>IFERROR(__xludf.DUMMYFUNCTION("IFERROR(INDEX(IMPORTRANGE(""1wF8uimz-gnzzmqfjHb8Ua7fudqcoq5SrFyToq2B2IO0"",""💸 Expenses!A5:J200""),25,5),"""")"),"")</f>
        <v/>
      </c>
      <c r="F65" s="84">
        <f>IFERROR(__xludf.DUMMYFUNCTION("IFERROR(IFERROR(INDEX(IMPORTRANGE(""1wF8uimz-gnzzmqfjHb8Ua7fudqcoq5SrFyToq2B2IO0"",""💸 Expenses!A5:J200""),25,6)*1,0),0)"),0.0)</f>
        <v>0</v>
      </c>
      <c r="G65" s="83" t="str">
        <f>IFERROR(__xludf.DUMMYFUNCTION("IFERROR(INDEX(IMPORTRANGE(""1wF8uimz-gnzzmqfjHb8Ua7fudqcoq5SrFyToq2B2IO0"",""💸 Expenses!A5:J200""),25,7),"""")"),"")</f>
        <v/>
      </c>
      <c r="H65" s="83" t="str">
        <f>IFERROR(__xludf.DUMMYFUNCTION("IFERROR(INDEX(IMPORTRANGE(""1wF8uimz-gnzzmqfjHb8Ua7fudqcoq5SrFyToq2B2IO0"",""💸 Expenses!A5:J200""),25,8),"""")"),"")</f>
        <v/>
      </c>
      <c r="I65" s="83" t="str">
        <f>IFERROR(__xludf.DUMMYFUNCTION("IFERROR(INDEX(IMPORTRANGE(""1wF8uimz-gnzzmqfjHb8Ua7fudqcoq5SrFyToq2B2IO0"",""💸 Expenses!A5:J200""),25,9),"""")"),"")</f>
        <v/>
      </c>
      <c r="J65" s="83" t="str">
        <f>IFERROR(__xludf.DUMMYFUNCTION("IFERROR(INDEX(IMPORTRANGE(""1wF8uimz-gnzzmqfjHb8Ua7fudqcoq5SrFyToq2B2IO0"",""💸 Expenses!A5:J200""),25,10),"""")"),"")</f>
        <v/>
      </c>
      <c r="K65" s="36"/>
      <c r="L65" s="36"/>
      <c r="M65" s="36"/>
      <c r="N65" s="36"/>
    </row>
    <row r="66" ht="18.0" customHeight="1">
      <c r="A66" s="54" t="str">
        <f>IFERROR(__xludf.DUMMYFUNCTION("IFERROR(INDEX(IMPORTRANGE(""1wF8uimz-gnzzmqfjHb8Ua7fudqcoq5SrFyToq2B2IO0"",""💸 Expenses!A5:J200""),26,1),"""")"),"")</f>
        <v/>
      </c>
      <c r="B66" s="85" t="str">
        <f>IFERROR(__xludf.DUMMYFUNCTION("IFERROR(IF(INDEX(IMPORTRANGE(""1wF8uimz-gnzzmqfjHb8Ua7fudqcoq5SrFyToq2B2IO0"",""💸 Expenses!A5:J200""),26,2)="""","""",TEXT(INDEX(IMPORTRANGE(""1wF8uimz-gnzzmqfjHb8Ua7fudqcoq5SrFyToq2B2IO0"",""💸 Expenses!A5:J200""),26,2),""DD-MM-YYYY"")),"""")"),"")</f>
        <v/>
      </c>
      <c r="C66" s="86" t="str">
        <f>IFERROR(__xludf.DUMMYFUNCTION("IFERROR(INDEX(IMPORTRANGE(""1wF8uimz-gnzzmqfjHb8Ua7fudqcoq5SrFyToq2B2IO0"",""💸 Expenses!A5:J200""),26,3),"""")"),"")</f>
        <v/>
      </c>
      <c r="D66" s="86" t="str">
        <f>IFERROR(__xludf.DUMMYFUNCTION("IFERROR(INDEX(IMPORTRANGE(""1wF8uimz-gnzzmqfjHb8Ua7fudqcoq5SrFyToq2B2IO0"",""💸 Expenses!A5:J200""),26,4),"""")"),"")</f>
        <v/>
      </c>
      <c r="E66" s="86" t="str">
        <f>IFERROR(__xludf.DUMMYFUNCTION("IFERROR(INDEX(IMPORTRANGE(""1wF8uimz-gnzzmqfjHb8Ua7fudqcoq5SrFyToq2B2IO0"",""💸 Expenses!A5:J200""),26,5),"""")"),"")</f>
        <v/>
      </c>
      <c r="F66" s="87">
        <f>IFERROR(__xludf.DUMMYFUNCTION("IFERROR(IFERROR(INDEX(IMPORTRANGE(""1wF8uimz-gnzzmqfjHb8Ua7fudqcoq5SrFyToq2B2IO0"",""💸 Expenses!A5:J200""),26,6)*1,0),0)"),0.0)</f>
        <v>0</v>
      </c>
      <c r="G66" s="86" t="str">
        <f>IFERROR(__xludf.DUMMYFUNCTION("IFERROR(INDEX(IMPORTRANGE(""1wF8uimz-gnzzmqfjHb8Ua7fudqcoq5SrFyToq2B2IO0"",""💸 Expenses!A5:J200""),26,7),"""")"),"")</f>
        <v/>
      </c>
      <c r="H66" s="86" t="str">
        <f>IFERROR(__xludf.DUMMYFUNCTION("IFERROR(INDEX(IMPORTRANGE(""1wF8uimz-gnzzmqfjHb8Ua7fudqcoq5SrFyToq2B2IO0"",""💸 Expenses!A5:J200""),26,8),"""")"),"")</f>
        <v/>
      </c>
      <c r="I66" s="86" t="str">
        <f>IFERROR(__xludf.DUMMYFUNCTION("IFERROR(INDEX(IMPORTRANGE(""1wF8uimz-gnzzmqfjHb8Ua7fudqcoq5SrFyToq2B2IO0"",""💸 Expenses!A5:J200""),26,9),"""")"),"")</f>
        <v/>
      </c>
      <c r="J66" s="86" t="str">
        <f>IFERROR(__xludf.DUMMYFUNCTION("IFERROR(INDEX(IMPORTRANGE(""1wF8uimz-gnzzmqfjHb8Ua7fudqcoq5SrFyToq2B2IO0"",""💸 Expenses!A5:J200""),26,10),"""")"),"")</f>
        <v/>
      </c>
      <c r="K66" s="37"/>
      <c r="L66" s="37"/>
      <c r="M66" s="37"/>
      <c r="N66" s="37"/>
    </row>
    <row r="67" ht="18.0" customHeight="1">
      <c r="A67" s="50" t="str">
        <f>IFERROR(__xludf.DUMMYFUNCTION("IFERROR(INDEX(IMPORTRANGE(""1wF8uimz-gnzzmqfjHb8Ua7fudqcoq5SrFyToq2B2IO0"",""💸 Expenses!A5:J200""),27,1),"""")"),"")</f>
        <v/>
      </c>
      <c r="B67" s="82" t="str">
        <f>IFERROR(__xludf.DUMMYFUNCTION("IFERROR(IF(INDEX(IMPORTRANGE(""1wF8uimz-gnzzmqfjHb8Ua7fudqcoq5SrFyToq2B2IO0"",""💸 Expenses!A5:J200""),27,2)="""","""",TEXT(INDEX(IMPORTRANGE(""1wF8uimz-gnzzmqfjHb8Ua7fudqcoq5SrFyToq2B2IO0"",""💸 Expenses!A5:J200""),27,2),""DD-MM-YYYY"")),"""")"),"")</f>
        <v/>
      </c>
      <c r="C67" s="83" t="str">
        <f>IFERROR(__xludf.DUMMYFUNCTION("IFERROR(INDEX(IMPORTRANGE(""1wF8uimz-gnzzmqfjHb8Ua7fudqcoq5SrFyToq2B2IO0"",""💸 Expenses!A5:J200""),27,3),"""")"),"")</f>
        <v/>
      </c>
      <c r="D67" s="83" t="str">
        <f>IFERROR(__xludf.DUMMYFUNCTION("IFERROR(INDEX(IMPORTRANGE(""1wF8uimz-gnzzmqfjHb8Ua7fudqcoq5SrFyToq2B2IO0"",""💸 Expenses!A5:J200""),27,4),"""")"),"")</f>
        <v/>
      </c>
      <c r="E67" s="83" t="str">
        <f>IFERROR(__xludf.DUMMYFUNCTION("IFERROR(INDEX(IMPORTRANGE(""1wF8uimz-gnzzmqfjHb8Ua7fudqcoq5SrFyToq2B2IO0"",""💸 Expenses!A5:J200""),27,5),"""")"),"")</f>
        <v/>
      </c>
      <c r="F67" s="84">
        <f>IFERROR(__xludf.DUMMYFUNCTION("IFERROR(IFERROR(INDEX(IMPORTRANGE(""1wF8uimz-gnzzmqfjHb8Ua7fudqcoq5SrFyToq2B2IO0"",""💸 Expenses!A5:J200""),27,6)*1,0),0)"),0.0)</f>
        <v>0</v>
      </c>
      <c r="G67" s="83" t="str">
        <f>IFERROR(__xludf.DUMMYFUNCTION("IFERROR(INDEX(IMPORTRANGE(""1wF8uimz-gnzzmqfjHb8Ua7fudqcoq5SrFyToq2B2IO0"",""💸 Expenses!A5:J200""),27,7),"""")"),"")</f>
        <v/>
      </c>
      <c r="H67" s="83" t="str">
        <f>IFERROR(__xludf.DUMMYFUNCTION("IFERROR(INDEX(IMPORTRANGE(""1wF8uimz-gnzzmqfjHb8Ua7fudqcoq5SrFyToq2B2IO0"",""💸 Expenses!A5:J200""),27,8),"""")"),"")</f>
        <v/>
      </c>
      <c r="I67" s="83" t="str">
        <f>IFERROR(__xludf.DUMMYFUNCTION("IFERROR(INDEX(IMPORTRANGE(""1wF8uimz-gnzzmqfjHb8Ua7fudqcoq5SrFyToq2B2IO0"",""💸 Expenses!A5:J200""),27,9),"""")"),"")</f>
        <v/>
      </c>
      <c r="J67" s="83" t="str">
        <f>IFERROR(__xludf.DUMMYFUNCTION("IFERROR(INDEX(IMPORTRANGE(""1wF8uimz-gnzzmqfjHb8Ua7fudqcoq5SrFyToq2B2IO0"",""💸 Expenses!A5:J200""),27,10),"""")"),"")</f>
        <v/>
      </c>
      <c r="K67" s="36"/>
      <c r="L67" s="36"/>
      <c r="M67" s="36"/>
      <c r="N67" s="36"/>
    </row>
    <row r="68" ht="18.0" customHeight="1">
      <c r="A68" s="54" t="str">
        <f>IFERROR(__xludf.DUMMYFUNCTION("IFERROR(INDEX(IMPORTRANGE(""1wF8uimz-gnzzmqfjHb8Ua7fudqcoq5SrFyToq2B2IO0"",""💸 Expenses!A5:J200""),28,1),"""")"),"")</f>
        <v/>
      </c>
      <c r="B68" s="85" t="str">
        <f>IFERROR(__xludf.DUMMYFUNCTION("IFERROR(IF(INDEX(IMPORTRANGE(""1wF8uimz-gnzzmqfjHb8Ua7fudqcoq5SrFyToq2B2IO0"",""💸 Expenses!A5:J200""),28,2)="""","""",TEXT(INDEX(IMPORTRANGE(""1wF8uimz-gnzzmqfjHb8Ua7fudqcoq5SrFyToq2B2IO0"",""💸 Expenses!A5:J200""),28,2),""DD-MM-YYYY"")),"""")"),"")</f>
        <v/>
      </c>
      <c r="C68" s="86" t="str">
        <f>IFERROR(__xludf.DUMMYFUNCTION("IFERROR(INDEX(IMPORTRANGE(""1wF8uimz-gnzzmqfjHb8Ua7fudqcoq5SrFyToq2B2IO0"",""💸 Expenses!A5:J200""),28,3),"""")"),"")</f>
        <v/>
      </c>
      <c r="D68" s="86" t="str">
        <f>IFERROR(__xludf.DUMMYFUNCTION("IFERROR(INDEX(IMPORTRANGE(""1wF8uimz-gnzzmqfjHb8Ua7fudqcoq5SrFyToq2B2IO0"",""💸 Expenses!A5:J200""),28,4),"""")"),"")</f>
        <v/>
      </c>
      <c r="E68" s="86" t="str">
        <f>IFERROR(__xludf.DUMMYFUNCTION("IFERROR(INDEX(IMPORTRANGE(""1wF8uimz-gnzzmqfjHb8Ua7fudqcoq5SrFyToq2B2IO0"",""💸 Expenses!A5:J200""),28,5),"""")"),"")</f>
        <v/>
      </c>
      <c r="F68" s="87">
        <f>IFERROR(__xludf.DUMMYFUNCTION("IFERROR(IFERROR(INDEX(IMPORTRANGE(""1wF8uimz-gnzzmqfjHb8Ua7fudqcoq5SrFyToq2B2IO0"",""💸 Expenses!A5:J200""),28,6)*1,0),0)"),0.0)</f>
        <v>0</v>
      </c>
      <c r="G68" s="86" t="str">
        <f>IFERROR(__xludf.DUMMYFUNCTION("IFERROR(INDEX(IMPORTRANGE(""1wF8uimz-gnzzmqfjHb8Ua7fudqcoq5SrFyToq2B2IO0"",""💸 Expenses!A5:J200""),28,7),"""")"),"")</f>
        <v/>
      </c>
      <c r="H68" s="86" t="str">
        <f>IFERROR(__xludf.DUMMYFUNCTION("IFERROR(INDEX(IMPORTRANGE(""1wF8uimz-gnzzmqfjHb8Ua7fudqcoq5SrFyToq2B2IO0"",""💸 Expenses!A5:J200""),28,8),"""")"),"")</f>
        <v/>
      </c>
      <c r="I68" s="86" t="str">
        <f>IFERROR(__xludf.DUMMYFUNCTION("IFERROR(INDEX(IMPORTRANGE(""1wF8uimz-gnzzmqfjHb8Ua7fudqcoq5SrFyToq2B2IO0"",""💸 Expenses!A5:J200""),28,9),"""")"),"")</f>
        <v/>
      </c>
      <c r="J68" s="86" t="str">
        <f>IFERROR(__xludf.DUMMYFUNCTION("IFERROR(INDEX(IMPORTRANGE(""1wF8uimz-gnzzmqfjHb8Ua7fudqcoq5SrFyToq2B2IO0"",""💸 Expenses!A5:J200""),28,10),"""")"),"")</f>
        <v/>
      </c>
      <c r="K68" s="37"/>
      <c r="L68" s="37"/>
      <c r="M68" s="37"/>
      <c r="N68" s="37"/>
    </row>
    <row r="69" ht="18.0" customHeight="1">
      <c r="A69" s="50" t="str">
        <f>IFERROR(__xludf.DUMMYFUNCTION("IFERROR(INDEX(IMPORTRANGE(""1wF8uimz-gnzzmqfjHb8Ua7fudqcoq5SrFyToq2B2IO0"",""💸 Expenses!A5:J200""),29,1),"""")"),"")</f>
        <v/>
      </c>
      <c r="B69" s="82" t="str">
        <f>IFERROR(__xludf.DUMMYFUNCTION("IFERROR(IF(INDEX(IMPORTRANGE(""1wF8uimz-gnzzmqfjHb8Ua7fudqcoq5SrFyToq2B2IO0"",""💸 Expenses!A5:J200""),29,2)="""","""",TEXT(INDEX(IMPORTRANGE(""1wF8uimz-gnzzmqfjHb8Ua7fudqcoq5SrFyToq2B2IO0"",""💸 Expenses!A5:J200""),29,2),""DD-MM-YYYY"")),"""")"),"")</f>
        <v/>
      </c>
      <c r="C69" s="83" t="str">
        <f>IFERROR(__xludf.DUMMYFUNCTION("IFERROR(INDEX(IMPORTRANGE(""1wF8uimz-gnzzmqfjHb8Ua7fudqcoq5SrFyToq2B2IO0"",""💸 Expenses!A5:J200""),29,3),"""")"),"")</f>
        <v/>
      </c>
      <c r="D69" s="83" t="str">
        <f>IFERROR(__xludf.DUMMYFUNCTION("IFERROR(INDEX(IMPORTRANGE(""1wF8uimz-gnzzmqfjHb8Ua7fudqcoq5SrFyToq2B2IO0"",""💸 Expenses!A5:J200""),29,4),"""")"),"")</f>
        <v/>
      </c>
      <c r="E69" s="83" t="str">
        <f>IFERROR(__xludf.DUMMYFUNCTION("IFERROR(INDEX(IMPORTRANGE(""1wF8uimz-gnzzmqfjHb8Ua7fudqcoq5SrFyToq2B2IO0"",""💸 Expenses!A5:J200""),29,5),"""")"),"")</f>
        <v/>
      </c>
      <c r="F69" s="84">
        <f>IFERROR(__xludf.DUMMYFUNCTION("IFERROR(IFERROR(INDEX(IMPORTRANGE(""1wF8uimz-gnzzmqfjHb8Ua7fudqcoq5SrFyToq2B2IO0"",""💸 Expenses!A5:J200""),29,6)*1,0),0)"),0.0)</f>
        <v>0</v>
      </c>
      <c r="G69" s="83" t="str">
        <f>IFERROR(__xludf.DUMMYFUNCTION("IFERROR(INDEX(IMPORTRANGE(""1wF8uimz-gnzzmqfjHb8Ua7fudqcoq5SrFyToq2B2IO0"",""💸 Expenses!A5:J200""),29,7),"""")"),"")</f>
        <v/>
      </c>
      <c r="H69" s="83" t="str">
        <f>IFERROR(__xludf.DUMMYFUNCTION("IFERROR(INDEX(IMPORTRANGE(""1wF8uimz-gnzzmqfjHb8Ua7fudqcoq5SrFyToq2B2IO0"",""💸 Expenses!A5:J200""),29,8),"""")"),"")</f>
        <v/>
      </c>
      <c r="I69" s="83" t="str">
        <f>IFERROR(__xludf.DUMMYFUNCTION("IFERROR(INDEX(IMPORTRANGE(""1wF8uimz-gnzzmqfjHb8Ua7fudqcoq5SrFyToq2B2IO0"",""💸 Expenses!A5:J200""),29,9),"""")"),"")</f>
        <v/>
      </c>
      <c r="J69" s="83" t="str">
        <f>IFERROR(__xludf.DUMMYFUNCTION("IFERROR(INDEX(IMPORTRANGE(""1wF8uimz-gnzzmqfjHb8Ua7fudqcoq5SrFyToq2B2IO0"",""💸 Expenses!A5:J200""),29,10),"""")"),"")</f>
        <v/>
      </c>
      <c r="K69" s="36"/>
      <c r="L69" s="36"/>
      <c r="M69" s="36"/>
      <c r="N69" s="36"/>
    </row>
    <row r="70" ht="18.0" customHeight="1">
      <c r="A70" s="54" t="str">
        <f>IFERROR(__xludf.DUMMYFUNCTION("IFERROR(INDEX(IMPORTRANGE(""1wF8uimz-gnzzmqfjHb8Ua7fudqcoq5SrFyToq2B2IO0"",""💸 Expenses!A5:J200""),30,1),"""")"),"")</f>
        <v/>
      </c>
      <c r="B70" s="85" t="str">
        <f>IFERROR(__xludf.DUMMYFUNCTION("IFERROR(IF(INDEX(IMPORTRANGE(""1wF8uimz-gnzzmqfjHb8Ua7fudqcoq5SrFyToq2B2IO0"",""💸 Expenses!A5:J200""),30,2)="""","""",TEXT(INDEX(IMPORTRANGE(""1wF8uimz-gnzzmqfjHb8Ua7fudqcoq5SrFyToq2B2IO0"",""💸 Expenses!A5:J200""),30,2),""DD-MM-YYYY"")),"""")"),"")</f>
        <v/>
      </c>
      <c r="C70" s="86" t="str">
        <f>IFERROR(__xludf.DUMMYFUNCTION("IFERROR(INDEX(IMPORTRANGE(""1wF8uimz-gnzzmqfjHb8Ua7fudqcoq5SrFyToq2B2IO0"",""💸 Expenses!A5:J200""),30,3),"""")"),"")</f>
        <v/>
      </c>
      <c r="D70" s="86" t="str">
        <f>IFERROR(__xludf.DUMMYFUNCTION("IFERROR(INDEX(IMPORTRANGE(""1wF8uimz-gnzzmqfjHb8Ua7fudqcoq5SrFyToq2B2IO0"",""💸 Expenses!A5:J200""),30,4),"""")"),"")</f>
        <v/>
      </c>
      <c r="E70" s="86" t="str">
        <f>IFERROR(__xludf.DUMMYFUNCTION("IFERROR(INDEX(IMPORTRANGE(""1wF8uimz-gnzzmqfjHb8Ua7fudqcoq5SrFyToq2B2IO0"",""💸 Expenses!A5:J200""),30,5),"""")"),"")</f>
        <v/>
      </c>
      <c r="F70" s="87">
        <f>IFERROR(__xludf.DUMMYFUNCTION("IFERROR(IFERROR(INDEX(IMPORTRANGE(""1wF8uimz-gnzzmqfjHb8Ua7fudqcoq5SrFyToq2B2IO0"",""💸 Expenses!A5:J200""),30,6)*1,0),0)"),0.0)</f>
        <v>0</v>
      </c>
      <c r="G70" s="86" t="str">
        <f>IFERROR(__xludf.DUMMYFUNCTION("IFERROR(INDEX(IMPORTRANGE(""1wF8uimz-gnzzmqfjHb8Ua7fudqcoq5SrFyToq2B2IO0"",""💸 Expenses!A5:J200""),30,7),"""")"),"")</f>
        <v/>
      </c>
      <c r="H70" s="86" t="str">
        <f>IFERROR(__xludf.DUMMYFUNCTION("IFERROR(INDEX(IMPORTRANGE(""1wF8uimz-gnzzmqfjHb8Ua7fudqcoq5SrFyToq2B2IO0"",""💸 Expenses!A5:J200""),30,8),"""")"),"")</f>
        <v/>
      </c>
      <c r="I70" s="86" t="str">
        <f>IFERROR(__xludf.DUMMYFUNCTION("IFERROR(INDEX(IMPORTRANGE(""1wF8uimz-gnzzmqfjHb8Ua7fudqcoq5SrFyToq2B2IO0"",""💸 Expenses!A5:J200""),30,9),"""")"),"")</f>
        <v/>
      </c>
      <c r="J70" s="86" t="str">
        <f>IFERROR(__xludf.DUMMYFUNCTION("IFERROR(INDEX(IMPORTRANGE(""1wF8uimz-gnzzmqfjHb8Ua7fudqcoq5SrFyToq2B2IO0"",""💸 Expenses!A5:J200""),30,10),"""")"),"")</f>
        <v/>
      </c>
      <c r="K70" s="37"/>
      <c r="L70" s="37"/>
      <c r="M70" s="37"/>
      <c r="N70" s="37"/>
    </row>
    <row r="71" ht="19.5" customHeight="1">
      <c r="A71" s="33" t="s">
        <v>104</v>
      </c>
      <c r="B71" s="2"/>
      <c r="C71" s="2"/>
      <c r="D71" s="2"/>
      <c r="E71" s="3"/>
      <c r="F71" s="34">
        <f>SUMPRODUCT((A41:A70&lt;&gt;"")*F41:F70)</f>
        <v>0</v>
      </c>
      <c r="G71" s="38"/>
      <c r="H71" s="38"/>
      <c r="I71" s="38"/>
      <c r="J71" s="38"/>
      <c r="K71" s="38"/>
      <c r="L71" s="38"/>
      <c r="M71" s="38"/>
      <c r="N71" s="38"/>
    </row>
    <row r="72" ht="6.0" customHeight="1"/>
    <row r="73" ht="19.5" customHeight="1">
      <c r="A73" s="35" t="s">
        <v>36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</row>
    <row r="74" ht="18.0" customHeight="1">
      <c r="A74" s="17" t="s">
        <v>14</v>
      </c>
      <c r="B74" s="18" t="s">
        <v>37</v>
      </c>
      <c r="C74" s="3"/>
      <c r="D74" s="17" t="s">
        <v>38</v>
      </c>
      <c r="E74" s="17" t="s">
        <v>39</v>
      </c>
      <c r="F74" s="17" t="s">
        <v>40</v>
      </c>
    </row>
    <row r="75" ht="18.0" customHeight="1">
      <c r="A75" s="19">
        <v>1.0</v>
      </c>
      <c r="B75" s="10" t="s">
        <v>32</v>
      </c>
      <c r="C75" s="3"/>
      <c r="D75" s="20">
        <f>IFERROR(__xludf.DUMMYFUNCTION("IFERROR(INDEX(QUERY(IMPORTRANGE(""1wF8uimz-gnzzmqfjHb8Ua7fudqcoq5SrFyToq2B2IO0"",""💰 Donations!C4:M200""),""SELECT SUM(Col1) WHERE Col11='Aadi Festival' LABEL SUM(Col1) ''""),1),0)"),0.0)</f>
        <v>0</v>
      </c>
      <c r="E75" s="39">
        <f>IFERROR(__xludf.DUMMYFUNCTION("IFERROR(INDEX(QUERY(IMPORTRANGE(""1wF8uimz-gnzzmqfjHb8Ua7fudqcoq5SrFyToq2B2IO0"",""💰 Donations!C4:M200""),""SELECT SUM(Col2) WHERE Col11='Aadi Festival' LABEL SUM(Col2) ''""),1),0)"),0.0)</f>
        <v>0</v>
      </c>
      <c r="F75" s="21">
        <f t="shared" ref="F75:F83" si="3">D75-E75</f>
        <v>0</v>
      </c>
      <c r="G75" s="36"/>
      <c r="H75" s="36"/>
      <c r="I75" s="36"/>
      <c r="J75" s="36"/>
      <c r="K75" s="36"/>
      <c r="L75" s="36"/>
      <c r="M75" s="36"/>
      <c r="N75" s="36"/>
    </row>
    <row r="76" ht="18.0" customHeight="1">
      <c r="A76" s="22">
        <v>2.0</v>
      </c>
      <c r="B76" s="12" t="s">
        <v>33</v>
      </c>
      <c r="C76" s="3"/>
      <c r="D76" s="23">
        <f>IFERROR(__xludf.DUMMYFUNCTION("IFERROR(INDEX(QUERY(IMPORTRANGE(""1wF8uimz-gnzzmqfjHb8Ua7fudqcoq5SrFyToq2B2IO0"",""💰 Donations!C4:M200""),""SELECT SUM(Col1) WHERE Col11='Temple Development' LABEL SUM(Col1) ''""),1),0)"),0.0)</f>
        <v>0</v>
      </c>
      <c r="E76" s="40">
        <f>IFERROR(__xludf.DUMMYFUNCTION("IFERROR(INDEX(QUERY(IMPORTRANGE(""1wF8uimz-gnzzmqfjHb8Ua7fudqcoq5SrFyToq2B2IO0"",""💰 Donations!C4:M200""),""SELECT SUM(Col2) WHERE Col11='Temple Development' LABEL SUM(Col2) ''""),1),0)"),0.0)</f>
        <v>0</v>
      </c>
      <c r="F76" s="24">
        <f t="shared" si="3"/>
        <v>0</v>
      </c>
      <c r="G76" s="37"/>
      <c r="H76" s="37"/>
      <c r="I76" s="37"/>
      <c r="J76" s="37"/>
      <c r="K76" s="37"/>
      <c r="L76" s="37"/>
      <c r="M76" s="37"/>
      <c r="N76" s="37"/>
    </row>
    <row r="77" ht="18.0" customHeight="1">
      <c r="A77" s="19">
        <v>3.0</v>
      </c>
      <c r="B77" s="10" t="s">
        <v>41</v>
      </c>
      <c r="C77" s="3"/>
      <c r="D77" s="20">
        <f>IFERROR(__xludf.DUMMYFUNCTION("IFERROR(INDEX(QUERY(IMPORTRANGE(""1wF8uimz-gnzzmqfjHb8Ua7fudqcoq5SrFyToq2B2IO0"",""💰 Donations!C4:M200""),""SELECT SUM(Col1) WHERE Col11='Birthday Pooja' LABEL SUM(Col1) ''""),1),0)"),0.0)</f>
        <v>0</v>
      </c>
      <c r="E77" s="39">
        <f>IFERROR(__xludf.DUMMYFUNCTION("IFERROR(INDEX(QUERY(IMPORTRANGE(""1wF8uimz-gnzzmqfjHb8Ua7fudqcoq5SrFyToq2B2IO0"",""💰 Donations!C4:M200""),""SELECT SUM(Col2) WHERE Col11='Birthday Pooja' LABEL SUM(Col2) ''""),1),0)"),0.0)</f>
        <v>0</v>
      </c>
      <c r="F77" s="21">
        <f t="shared" si="3"/>
        <v>0</v>
      </c>
      <c r="G77" s="36"/>
      <c r="H77" s="36"/>
      <c r="I77" s="36"/>
      <c r="J77" s="36"/>
      <c r="K77" s="36"/>
      <c r="L77" s="36"/>
      <c r="M77" s="36"/>
      <c r="N77" s="36"/>
    </row>
    <row r="78" ht="18.0" customHeight="1">
      <c r="A78" s="22">
        <v>4.0</v>
      </c>
      <c r="B78" s="12" t="s">
        <v>42</v>
      </c>
      <c r="C78" s="3"/>
      <c r="D78" s="23">
        <f>IFERROR(__xludf.DUMMYFUNCTION("IFERROR(INDEX(QUERY(IMPORTRANGE(""1wF8uimz-gnzzmqfjHb8Ua7fudqcoq5SrFyToq2B2IO0"",""💰 Donations!C4:M200""),""SELECT SUM(Col1) WHERE Col11='Anniversary Pooja' LABEL SUM(Col1) ''""),1),0)"),0.0)</f>
        <v>0</v>
      </c>
      <c r="E78" s="40">
        <f>IFERROR(__xludf.DUMMYFUNCTION("IFERROR(INDEX(QUERY(IMPORTRANGE(""1wF8uimz-gnzzmqfjHb8Ua7fudqcoq5SrFyToq2B2IO0"",""💰 Donations!C4:M200""),""SELECT SUM(Col2) WHERE Col11='Anniversary Pooja' LABEL SUM(Col2) ''""),1),0)"),0.0)</f>
        <v>0</v>
      </c>
      <c r="F78" s="24">
        <f t="shared" si="3"/>
        <v>0</v>
      </c>
      <c r="G78" s="37"/>
      <c r="H78" s="37"/>
      <c r="I78" s="37"/>
      <c r="J78" s="37"/>
      <c r="K78" s="37"/>
      <c r="L78" s="37"/>
      <c r="M78" s="37"/>
      <c r="N78" s="37"/>
    </row>
    <row r="79" ht="18.0" customHeight="1">
      <c r="A79" s="19">
        <v>5.0</v>
      </c>
      <c r="B79" s="10" t="s">
        <v>43</v>
      </c>
      <c r="C79" s="3"/>
      <c r="D79" s="20">
        <f>IFERROR(__xludf.DUMMYFUNCTION("IFERROR(INDEX(QUERY(IMPORTRANGE(""1wF8uimz-gnzzmqfjHb8Ua7fudqcoq5SrFyToq2B2IO0"",""💰 Donations!C4:M200""),""SELECT SUM(Col1) WHERE Col11='Pournami Pooja' LABEL SUM(Col1) ''""),1),0)"),0.0)</f>
        <v>0</v>
      </c>
      <c r="E79" s="39">
        <f>IFERROR(__xludf.DUMMYFUNCTION("IFERROR(INDEX(QUERY(IMPORTRANGE(""1wF8uimz-gnzzmqfjHb8Ua7fudqcoq5SrFyToq2B2IO0"",""💰 Donations!C4:M200""),""SELECT SUM(Col2) WHERE Col11='Pournami Pooja' LABEL SUM(Col2) ''""),1),0)"),0.0)</f>
        <v>0</v>
      </c>
      <c r="F79" s="21">
        <f t="shared" si="3"/>
        <v>0</v>
      </c>
      <c r="G79" s="36"/>
      <c r="H79" s="36"/>
      <c r="I79" s="36"/>
      <c r="J79" s="36"/>
      <c r="K79" s="36"/>
      <c r="L79" s="36"/>
      <c r="M79" s="36"/>
      <c r="N79" s="36"/>
    </row>
    <row r="80" ht="18.0" customHeight="1">
      <c r="A80" s="22">
        <v>6.0</v>
      </c>
      <c r="B80" s="12" t="s">
        <v>44</v>
      </c>
      <c r="C80" s="3"/>
      <c r="D80" s="23">
        <f>IFERROR(__xludf.DUMMYFUNCTION("IFERROR(INDEX(QUERY(IMPORTRANGE(""1wF8uimz-gnzzmqfjHb8Ua7fudqcoq5SrFyToq2B2IO0"",""💰 Donations!C4:M200""),""SELECT SUM(Col1) WHERE Col11='Amavasai Pooja' LABEL SUM(Col1) ''""),1),0)"),0.0)</f>
        <v>0</v>
      </c>
      <c r="E80" s="40">
        <f>IFERROR(__xludf.DUMMYFUNCTION("IFERROR(INDEX(QUERY(IMPORTRANGE(""1wF8uimz-gnzzmqfjHb8Ua7fudqcoq5SrFyToq2B2IO0"",""💰 Donations!C4:M200""),""SELECT SUM(Col2) WHERE Col11='Amavasai Pooja' LABEL SUM(Col2) ''""),1),0)"),0.0)</f>
        <v>0</v>
      </c>
      <c r="F80" s="24">
        <f t="shared" si="3"/>
        <v>0</v>
      </c>
      <c r="G80" s="37"/>
      <c r="H80" s="37"/>
      <c r="I80" s="37"/>
      <c r="J80" s="37"/>
      <c r="K80" s="37"/>
      <c r="L80" s="37"/>
      <c r="M80" s="37"/>
      <c r="N80" s="37"/>
    </row>
    <row r="81" ht="18.0" customHeight="1">
      <c r="A81" s="19">
        <v>7.0</v>
      </c>
      <c r="B81" s="10" t="s">
        <v>45</v>
      </c>
      <c r="C81" s="3"/>
      <c r="D81" s="20">
        <f>IFERROR(__xludf.DUMMYFUNCTION("IFERROR(INDEX(QUERY(IMPORTRANGE(""1wF8uimz-gnzzmqfjHb8Ua7fudqcoq5SrFyToq2B2IO0"",""💰 Donations!C4:M200""),""SELECT SUM(Col1) WHERE Col11='Weekly Pooja' LABEL SUM(Col1) ''""),1),0)"),0.0)</f>
        <v>0</v>
      </c>
      <c r="E81" s="39">
        <f>IFERROR(__xludf.DUMMYFUNCTION("IFERROR(INDEX(QUERY(IMPORTRANGE(""1wF8uimz-gnzzmqfjHb8Ua7fudqcoq5SrFyToq2B2IO0"",""💰 Donations!C4:M200""),""SELECT SUM(Col2) WHERE Col11='Weekly Pooja' LABEL SUM(Col2) ''""),1),0)"),0.0)</f>
        <v>0</v>
      </c>
      <c r="F81" s="21">
        <f t="shared" si="3"/>
        <v>0</v>
      </c>
      <c r="G81" s="36"/>
      <c r="H81" s="36"/>
      <c r="I81" s="36"/>
      <c r="J81" s="36"/>
      <c r="K81" s="36"/>
      <c r="L81" s="36"/>
      <c r="M81" s="36"/>
      <c r="N81" s="36"/>
    </row>
    <row r="82" ht="18.0" customHeight="1">
      <c r="A82" s="22">
        <v>8.0</v>
      </c>
      <c r="B82" s="12" t="s">
        <v>35</v>
      </c>
      <c r="C82" s="3"/>
      <c r="D82" s="23">
        <f>IFERROR(__xludf.DUMMYFUNCTION("IFERROR(INDEX(QUERY(IMPORTRANGE(""1wF8uimz-gnzzmqfjHb8Ua7fudqcoq5SrFyToq2B2IO0"",""💰 Donations!C4:M200""),""SELECT SUM(Col1) WHERE Col11='Others' LABEL SUM(Col1) ''""),1),0)"),0.0)</f>
        <v>0</v>
      </c>
      <c r="E82" s="40">
        <f>IFERROR(__xludf.DUMMYFUNCTION("IFERROR(INDEX(QUERY(IMPORTRANGE(""1wF8uimz-gnzzmqfjHb8Ua7fudqcoq5SrFyToq2B2IO0"",""💰 Donations!C4:M200""),""SELECT SUM(Col2) WHERE Col11='Others' LABEL SUM(Col2) ''""),1),0)"),0.0)</f>
        <v>0</v>
      </c>
      <c r="F82" s="24">
        <f t="shared" si="3"/>
        <v>0</v>
      </c>
      <c r="G82" s="37"/>
      <c r="H82" s="37"/>
      <c r="I82" s="37"/>
      <c r="J82" s="37"/>
      <c r="K82" s="37"/>
      <c r="L82" s="37"/>
      <c r="M82" s="37"/>
      <c r="N82" s="37"/>
    </row>
    <row r="83" ht="19.5" customHeight="1">
      <c r="A83" s="33" t="s">
        <v>28</v>
      </c>
      <c r="B83" s="2"/>
      <c r="C83" s="3"/>
      <c r="D83" s="34">
        <f t="shared" ref="D83:E83" si="4">SUM(D75:D82)</f>
        <v>0</v>
      </c>
      <c r="E83" s="34">
        <f t="shared" si="4"/>
        <v>0</v>
      </c>
      <c r="F83" s="34">
        <f t="shared" si="3"/>
        <v>0</v>
      </c>
      <c r="G83" s="38"/>
      <c r="H83" s="38"/>
      <c r="I83" s="38"/>
      <c r="J83" s="38"/>
      <c r="K83" s="38"/>
      <c r="L83" s="38"/>
      <c r="M83" s="38"/>
      <c r="N83" s="38"/>
    </row>
    <row r="84" ht="6.0" customHeight="1"/>
    <row r="85" ht="19.5" customHeight="1">
      <c r="A85" s="5" t="s">
        <v>105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</row>
    <row r="86" ht="18.0" customHeight="1">
      <c r="A86" s="17" t="s">
        <v>14</v>
      </c>
      <c r="B86" s="18" t="s">
        <v>106</v>
      </c>
      <c r="C86" s="3"/>
      <c r="D86" s="17" t="s">
        <v>38</v>
      </c>
      <c r="E86" s="17" t="s">
        <v>39</v>
      </c>
      <c r="F86" s="17" t="s">
        <v>18</v>
      </c>
      <c r="G86" s="17" t="s">
        <v>47</v>
      </c>
      <c r="H86" s="17" t="s">
        <v>107</v>
      </c>
      <c r="I86" s="17" t="s">
        <v>108</v>
      </c>
      <c r="J86" s="17" t="s">
        <v>109</v>
      </c>
      <c r="K86" s="17" t="s">
        <v>110</v>
      </c>
      <c r="L86" s="17" t="s">
        <v>57</v>
      </c>
      <c r="M86" s="17" t="s">
        <v>111</v>
      </c>
      <c r="N86" s="17" t="s">
        <v>112</v>
      </c>
    </row>
    <row r="87" ht="18.0" customHeight="1">
      <c r="A87" s="19" t="str">
        <f>IFERROR(__xludf.DUMMYFUNCTION("IFERROR(INDEX(IMPORTRANGE(""1wF8uimz-gnzzmqfjHb8Ua7fudqcoq5SrFyToq2B2IO0"",""💰 Donations!A4:N200""),1,1),"""")"),"2027/D/1")</f>
        <v>2027/D/1</v>
      </c>
      <c r="B87" s="88" t="str">
        <f>IFERROR(__xludf.DUMMYFUNCTION("IFERROR(INDEX(IMPORTRANGE(""1wF8uimz-gnzzmqfjHb8Ua7fudqcoq5SrFyToq2B2IO0"",""💰 Donations!A4:N200""),1,2),"""")"),"S Shekar")</f>
        <v>S Shekar</v>
      </c>
      <c r="C87" s="3"/>
      <c r="D87" s="20">
        <f>IFERROR(__xludf.DUMMYFUNCTION("IFERROR(IFERROR(INDEX(IMPORTRANGE(""1wF8uimz-gnzzmqfjHb8Ua7fudqcoq5SrFyToq2B2IO0"",""💰 Donations!A4:N200""),1,3)*1,0),0)"),0.0)</f>
        <v>0</v>
      </c>
      <c r="E87" s="39">
        <f>IFERROR(__xludf.DUMMYFUNCTION("IFERROR(IFERROR(INDEX(IMPORTRANGE(""1wF8uimz-gnzzmqfjHb8Ua7fudqcoq5SrFyToq2B2IO0"",""💰 Donations!A4:N200""),1,4)*1,0),0)"),0.0)</f>
        <v>0</v>
      </c>
      <c r="F87" s="21">
        <f t="shared" ref="F87:F136" si="5">IFERROR(D87-E87,0)</f>
        <v>0</v>
      </c>
      <c r="G87" s="89" t="str">
        <f t="shared" ref="G87:G136" si="6">IF(A87="","",IF(OR(E87=0,E87=""),"Pending",IF(E87&gt;=D87,"Received","Partially Received")))</f>
        <v>Pending</v>
      </c>
      <c r="H87" s="50" t="str">
        <f>IFERROR(__xludf.DUMMYFUNCTION("IFERROR(INDEX(IMPORTRANGE(""1wF8uimz-gnzzmqfjHb8Ua7fudqcoq5SrFyToq2B2IO0"",""💰 Donations!A4:N200""),1,6),"""")"),"")</f>
        <v/>
      </c>
      <c r="I87" s="82" t="str">
        <f>IFERROR(__xludf.DUMMYFUNCTION("IFERROR(IF(INDEX(IMPORTRANGE(""1wF8uimz-gnzzmqfjHb8Ua7fudqcoq5SrFyToq2B2IO0"",""💰 Donations!A4:N200""),1,7)="""","""",TEXT(INDEX(IMPORTRANGE(""1wF8uimz-gnzzmqfjHb8Ua7fudqcoq5SrFyToq2B2IO0"",""💰 Donations!A4:N200""),1,7),""DD-MM-YYYY"")),"""")"),"")</f>
        <v/>
      </c>
      <c r="J87" s="83" t="str">
        <f>IFERROR(__xludf.DUMMYFUNCTION("IFERROR(INDEX(IMPORTRANGE(""1wF8uimz-gnzzmqfjHb8Ua7fudqcoq5SrFyToq2B2IO0"",""💰 Donations!A4:N200""),1,8),"""")"),"")</f>
        <v/>
      </c>
      <c r="K87" s="90" t="str">
        <f>IFERROR(__xludf.DUMMYFUNCTION("IFERROR(INDEX(IMPORTRANGE(""1wF8uimz-gnzzmqfjHb8Ua7fudqcoq5SrFyToq2B2IO0"",""💰 Donations!A4:N200""),1,11),"""")"),"Towards Iyer")</f>
        <v>Towards Iyer</v>
      </c>
      <c r="L87" s="50" t="str">
        <f>IFERROR(__xludf.DUMMYFUNCTION("IFERROR(INDEX(IMPORTRANGE(""1wF8uimz-gnzzmqfjHb8Ua7fudqcoq5SrFyToq2B2IO0"",""💰 Donations!A4:N200""),1,13),"""")"),"Aadi Festival")</f>
        <v>Aadi Festival</v>
      </c>
      <c r="M87" s="83" t="str">
        <f>IFERROR(__xludf.DUMMYFUNCTION("IFERROR(INDEX(IMPORTRANGE(""1wF8uimz-gnzzmqfjHb8Ua7fudqcoq5SrFyToq2B2IO0"",""💰 Donations!A4:N200""),1,14),"""")"),"")</f>
        <v/>
      </c>
      <c r="N87" s="82" t="str">
        <f>IFERROR(__xludf.DUMMYFUNCTION("IFERROR(IF(INDEX(IMPORTRANGE(""1wF8uimz-gnzzmqfjHb8Ua7fudqcoq5SrFyToq2B2IO0"",""💰 Donations!A4:N200""),1,10)="""","""",TEXT(INDEX(IMPORTRANGE(""1wF8uimz-gnzzmqfjHb8Ua7fudqcoq5SrFyToq2B2IO0"",""💰 Donations!A4:N200""),1,10),""DD-MM-YYYY"")),"""")"),"10-08-2026")</f>
        <v>10-08-2026</v>
      </c>
    </row>
    <row r="88" ht="18.0" customHeight="1">
      <c r="A88" s="22" t="str">
        <f>IFERROR(__xludf.DUMMYFUNCTION("IFERROR(INDEX(IMPORTRANGE(""1wF8uimz-gnzzmqfjHb8Ua7fudqcoq5SrFyToq2B2IO0"",""💰 Donations!A4:N200""),2,1),"""")"),"")</f>
        <v/>
      </c>
      <c r="B88" s="91" t="str">
        <f>IFERROR(__xludf.DUMMYFUNCTION("IFERROR(INDEX(IMPORTRANGE(""1wF8uimz-gnzzmqfjHb8Ua7fudqcoq5SrFyToq2B2IO0"",""💰 Donations!A4:N200""),2,2),"""")"),"")</f>
        <v/>
      </c>
      <c r="C88" s="3"/>
      <c r="D88" s="23">
        <f>IFERROR(__xludf.DUMMYFUNCTION("IFERROR(IFERROR(INDEX(IMPORTRANGE(""1wF8uimz-gnzzmqfjHb8Ua7fudqcoq5SrFyToq2B2IO0"",""💰 Donations!A4:N200""),2,3)*1,0),0)"),0.0)</f>
        <v>0</v>
      </c>
      <c r="E88" s="40">
        <f>IFERROR(__xludf.DUMMYFUNCTION("IFERROR(IFERROR(INDEX(IMPORTRANGE(""1wF8uimz-gnzzmqfjHb8Ua7fudqcoq5SrFyToq2B2IO0"",""💰 Donations!A4:N200""),2,4)*1,0),0)"),0.0)</f>
        <v>0</v>
      </c>
      <c r="F88" s="24">
        <f t="shared" si="5"/>
        <v>0</v>
      </c>
      <c r="G88" s="92" t="str">
        <f t="shared" si="6"/>
        <v/>
      </c>
      <c r="H88" s="54" t="str">
        <f>IFERROR(__xludf.DUMMYFUNCTION("IFERROR(INDEX(IMPORTRANGE(""1wF8uimz-gnzzmqfjHb8Ua7fudqcoq5SrFyToq2B2IO0"",""💰 Donations!A4:N200""),2,6),"""")"),"")</f>
        <v/>
      </c>
      <c r="I88" s="85" t="str">
        <f>IFERROR(__xludf.DUMMYFUNCTION("IFERROR(IF(INDEX(IMPORTRANGE(""1wF8uimz-gnzzmqfjHb8Ua7fudqcoq5SrFyToq2B2IO0"",""💰 Donations!A4:N200""),2,7)="""","""",TEXT(INDEX(IMPORTRANGE(""1wF8uimz-gnzzmqfjHb8Ua7fudqcoq5SrFyToq2B2IO0"",""💰 Donations!A4:N200""),2,7),""DD-MM-YYYY"")),"""")"),"")</f>
        <v/>
      </c>
      <c r="J88" s="86" t="str">
        <f>IFERROR(__xludf.DUMMYFUNCTION("IFERROR(INDEX(IMPORTRANGE(""1wF8uimz-gnzzmqfjHb8Ua7fudqcoq5SrFyToq2B2IO0"",""💰 Donations!A4:N200""),2,8),"""")"),"")</f>
        <v/>
      </c>
      <c r="K88" s="93" t="str">
        <f>IFERROR(__xludf.DUMMYFUNCTION("IFERROR(INDEX(IMPORTRANGE(""1wF8uimz-gnzzmqfjHb8Ua7fudqcoq5SrFyToq2B2IO0"",""💰 Donations!A4:N200""),2,11),"""")"),"")</f>
        <v/>
      </c>
      <c r="L88" s="54" t="str">
        <f>IFERROR(__xludf.DUMMYFUNCTION("IFERROR(INDEX(IMPORTRANGE(""1wF8uimz-gnzzmqfjHb8Ua7fudqcoq5SrFyToq2B2IO0"",""💰 Donations!A4:N200""),2,13),"""")"),"")</f>
        <v/>
      </c>
      <c r="M88" s="86" t="str">
        <f>IFERROR(__xludf.DUMMYFUNCTION("IFERROR(INDEX(IMPORTRANGE(""1wF8uimz-gnzzmqfjHb8Ua7fudqcoq5SrFyToq2B2IO0"",""💰 Donations!A4:N200""),2,14),"""")"),"")</f>
        <v/>
      </c>
      <c r="N88" s="85" t="str">
        <f>IFERROR(__xludf.DUMMYFUNCTION("IFERROR(IF(INDEX(IMPORTRANGE(""1wF8uimz-gnzzmqfjHb8Ua7fudqcoq5SrFyToq2B2IO0"",""💰 Donations!A4:N200""),2,10)="""","""",TEXT(INDEX(IMPORTRANGE(""1wF8uimz-gnzzmqfjHb8Ua7fudqcoq5SrFyToq2B2IO0"",""💰 Donations!A4:N200""),2,10),""DD-MM-YYYY"")),"""")"),"")</f>
        <v/>
      </c>
    </row>
    <row r="89" ht="18.0" customHeight="1">
      <c r="A89" s="19" t="str">
        <f>IFERROR(__xludf.DUMMYFUNCTION("IFERROR(INDEX(IMPORTRANGE(""1wF8uimz-gnzzmqfjHb8Ua7fudqcoq5SrFyToq2B2IO0"",""💰 Donations!A4:N200""),3,1),"""")"),"")</f>
        <v/>
      </c>
      <c r="B89" s="88" t="str">
        <f>IFERROR(__xludf.DUMMYFUNCTION("IFERROR(INDEX(IMPORTRANGE(""1wF8uimz-gnzzmqfjHb8Ua7fudqcoq5SrFyToq2B2IO0"",""💰 Donations!A4:N200""),3,2),"""")"),"")</f>
        <v/>
      </c>
      <c r="C89" s="3"/>
      <c r="D89" s="20">
        <f>IFERROR(__xludf.DUMMYFUNCTION("IFERROR(IFERROR(INDEX(IMPORTRANGE(""1wF8uimz-gnzzmqfjHb8Ua7fudqcoq5SrFyToq2B2IO0"",""💰 Donations!A4:N200""),3,3)*1,0),0)"),0.0)</f>
        <v>0</v>
      </c>
      <c r="E89" s="39">
        <f>IFERROR(__xludf.DUMMYFUNCTION("IFERROR(IFERROR(INDEX(IMPORTRANGE(""1wF8uimz-gnzzmqfjHb8Ua7fudqcoq5SrFyToq2B2IO0"",""💰 Donations!A4:N200""),3,4)*1,0),0)"),0.0)</f>
        <v>0</v>
      </c>
      <c r="F89" s="21">
        <f t="shared" si="5"/>
        <v>0</v>
      </c>
      <c r="G89" s="89" t="str">
        <f t="shared" si="6"/>
        <v/>
      </c>
      <c r="H89" s="50" t="str">
        <f>IFERROR(__xludf.DUMMYFUNCTION("IFERROR(INDEX(IMPORTRANGE(""1wF8uimz-gnzzmqfjHb8Ua7fudqcoq5SrFyToq2B2IO0"",""💰 Donations!A4:N200""),3,6),"""")"),"")</f>
        <v/>
      </c>
      <c r="I89" s="82" t="str">
        <f>IFERROR(__xludf.DUMMYFUNCTION("IFERROR(IF(INDEX(IMPORTRANGE(""1wF8uimz-gnzzmqfjHb8Ua7fudqcoq5SrFyToq2B2IO0"",""💰 Donations!A4:N200""),3,7)="""","""",TEXT(INDEX(IMPORTRANGE(""1wF8uimz-gnzzmqfjHb8Ua7fudqcoq5SrFyToq2B2IO0"",""💰 Donations!A4:N200""),3,7),""DD-MM-YYYY"")),"""")"),"")</f>
        <v/>
      </c>
      <c r="J89" s="83" t="str">
        <f>IFERROR(__xludf.DUMMYFUNCTION("IFERROR(INDEX(IMPORTRANGE(""1wF8uimz-gnzzmqfjHb8Ua7fudqcoq5SrFyToq2B2IO0"",""💰 Donations!A4:N200""),3,8),"""")"),"")</f>
        <v/>
      </c>
      <c r="K89" s="90" t="str">
        <f>IFERROR(__xludf.DUMMYFUNCTION("IFERROR(INDEX(IMPORTRANGE(""1wF8uimz-gnzzmqfjHb8Ua7fudqcoq5SrFyToq2B2IO0"",""💰 Donations!A4:N200""),3,11),"""")"),"")</f>
        <v/>
      </c>
      <c r="L89" s="50" t="str">
        <f>IFERROR(__xludf.DUMMYFUNCTION("IFERROR(INDEX(IMPORTRANGE(""1wF8uimz-gnzzmqfjHb8Ua7fudqcoq5SrFyToq2B2IO0"",""💰 Donations!A4:N200""),3,13),"""")"),"")</f>
        <v/>
      </c>
      <c r="M89" s="83" t="str">
        <f>IFERROR(__xludf.DUMMYFUNCTION("IFERROR(INDEX(IMPORTRANGE(""1wF8uimz-gnzzmqfjHb8Ua7fudqcoq5SrFyToq2B2IO0"",""💰 Donations!A4:N200""),3,14),"""")"),"")</f>
        <v/>
      </c>
      <c r="N89" s="82" t="str">
        <f>IFERROR(__xludf.DUMMYFUNCTION("IFERROR(IF(INDEX(IMPORTRANGE(""1wF8uimz-gnzzmqfjHb8Ua7fudqcoq5SrFyToq2B2IO0"",""💰 Donations!A4:N200""),3,10)="""","""",TEXT(INDEX(IMPORTRANGE(""1wF8uimz-gnzzmqfjHb8Ua7fudqcoq5SrFyToq2B2IO0"",""💰 Donations!A4:N200""),3,10),""DD-MM-YYYY"")),"""")"),"")</f>
        <v/>
      </c>
    </row>
    <row r="90" ht="18.0" customHeight="1">
      <c r="A90" s="22" t="str">
        <f>IFERROR(__xludf.DUMMYFUNCTION("IFERROR(INDEX(IMPORTRANGE(""1wF8uimz-gnzzmqfjHb8Ua7fudqcoq5SrFyToq2B2IO0"",""💰 Donations!A4:N200""),4,1),"""")"),"")</f>
        <v/>
      </c>
      <c r="B90" s="91" t="str">
        <f>IFERROR(__xludf.DUMMYFUNCTION("IFERROR(INDEX(IMPORTRANGE(""1wF8uimz-gnzzmqfjHb8Ua7fudqcoq5SrFyToq2B2IO0"",""💰 Donations!A4:N200""),4,2),"""")"),"")</f>
        <v/>
      </c>
      <c r="C90" s="3"/>
      <c r="D90" s="23">
        <f>IFERROR(__xludf.DUMMYFUNCTION("IFERROR(IFERROR(INDEX(IMPORTRANGE(""1wF8uimz-gnzzmqfjHb8Ua7fudqcoq5SrFyToq2B2IO0"",""💰 Donations!A4:N200""),4,3)*1,0),0)"),0.0)</f>
        <v>0</v>
      </c>
      <c r="E90" s="40">
        <f>IFERROR(__xludf.DUMMYFUNCTION("IFERROR(IFERROR(INDEX(IMPORTRANGE(""1wF8uimz-gnzzmqfjHb8Ua7fudqcoq5SrFyToq2B2IO0"",""💰 Donations!A4:N200""),4,4)*1,0),0)"),0.0)</f>
        <v>0</v>
      </c>
      <c r="F90" s="24">
        <f t="shared" si="5"/>
        <v>0</v>
      </c>
      <c r="G90" s="92" t="str">
        <f t="shared" si="6"/>
        <v/>
      </c>
      <c r="H90" s="54" t="str">
        <f>IFERROR(__xludf.DUMMYFUNCTION("IFERROR(INDEX(IMPORTRANGE(""1wF8uimz-gnzzmqfjHb8Ua7fudqcoq5SrFyToq2B2IO0"",""💰 Donations!A4:N200""),4,6),"""")"),"")</f>
        <v/>
      </c>
      <c r="I90" s="85" t="str">
        <f>IFERROR(__xludf.DUMMYFUNCTION("IFERROR(IF(INDEX(IMPORTRANGE(""1wF8uimz-gnzzmqfjHb8Ua7fudqcoq5SrFyToq2B2IO0"",""💰 Donations!A4:N200""),4,7)="""","""",TEXT(INDEX(IMPORTRANGE(""1wF8uimz-gnzzmqfjHb8Ua7fudqcoq5SrFyToq2B2IO0"",""💰 Donations!A4:N200""),4,7),""DD-MM-YYYY"")),"""")"),"")</f>
        <v/>
      </c>
      <c r="J90" s="86" t="str">
        <f>IFERROR(__xludf.DUMMYFUNCTION("IFERROR(INDEX(IMPORTRANGE(""1wF8uimz-gnzzmqfjHb8Ua7fudqcoq5SrFyToq2B2IO0"",""💰 Donations!A4:N200""),4,8),"""")"),"")</f>
        <v/>
      </c>
      <c r="K90" s="93" t="str">
        <f>IFERROR(__xludf.DUMMYFUNCTION("IFERROR(INDEX(IMPORTRANGE(""1wF8uimz-gnzzmqfjHb8Ua7fudqcoq5SrFyToq2B2IO0"",""💰 Donations!A4:N200""),4,11),"""")"),"")</f>
        <v/>
      </c>
      <c r="L90" s="54" t="str">
        <f>IFERROR(__xludf.DUMMYFUNCTION("IFERROR(INDEX(IMPORTRANGE(""1wF8uimz-gnzzmqfjHb8Ua7fudqcoq5SrFyToq2B2IO0"",""💰 Donations!A4:N200""),4,13),"""")"),"")</f>
        <v/>
      </c>
      <c r="M90" s="86" t="str">
        <f>IFERROR(__xludf.DUMMYFUNCTION("IFERROR(INDEX(IMPORTRANGE(""1wF8uimz-gnzzmqfjHb8Ua7fudqcoq5SrFyToq2B2IO0"",""💰 Donations!A4:N200""),4,14),"""")"),"")</f>
        <v/>
      </c>
      <c r="N90" s="85" t="str">
        <f>IFERROR(__xludf.DUMMYFUNCTION("IFERROR(IF(INDEX(IMPORTRANGE(""1wF8uimz-gnzzmqfjHb8Ua7fudqcoq5SrFyToq2B2IO0"",""💰 Donations!A4:N200""),4,10)="""","""",TEXT(INDEX(IMPORTRANGE(""1wF8uimz-gnzzmqfjHb8Ua7fudqcoq5SrFyToq2B2IO0"",""💰 Donations!A4:N200""),4,10),""DD-MM-YYYY"")),"""")"),"")</f>
        <v/>
      </c>
    </row>
    <row r="91" ht="18.0" customHeight="1">
      <c r="A91" s="19" t="str">
        <f>IFERROR(__xludf.DUMMYFUNCTION("IFERROR(INDEX(IMPORTRANGE(""1wF8uimz-gnzzmqfjHb8Ua7fudqcoq5SrFyToq2B2IO0"",""💰 Donations!A4:N200""),5,1),"""")"),"")</f>
        <v/>
      </c>
      <c r="B91" s="88" t="str">
        <f>IFERROR(__xludf.DUMMYFUNCTION("IFERROR(INDEX(IMPORTRANGE(""1wF8uimz-gnzzmqfjHb8Ua7fudqcoq5SrFyToq2B2IO0"",""💰 Donations!A4:N200""),5,2),"""")"),"")</f>
        <v/>
      </c>
      <c r="C91" s="3"/>
      <c r="D91" s="20">
        <f>IFERROR(__xludf.DUMMYFUNCTION("IFERROR(IFERROR(INDEX(IMPORTRANGE(""1wF8uimz-gnzzmqfjHb8Ua7fudqcoq5SrFyToq2B2IO0"",""💰 Donations!A4:N200""),5,3)*1,0),0)"),0.0)</f>
        <v>0</v>
      </c>
      <c r="E91" s="39">
        <f>IFERROR(__xludf.DUMMYFUNCTION("IFERROR(IFERROR(INDEX(IMPORTRANGE(""1wF8uimz-gnzzmqfjHb8Ua7fudqcoq5SrFyToq2B2IO0"",""💰 Donations!A4:N200""),5,4)*1,0),0)"),0.0)</f>
        <v>0</v>
      </c>
      <c r="F91" s="21">
        <f t="shared" si="5"/>
        <v>0</v>
      </c>
      <c r="G91" s="89" t="str">
        <f t="shared" si="6"/>
        <v/>
      </c>
      <c r="H91" s="50" t="str">
        <f>IFERROR(__xludf.DUMMYFUNCTION("IFERROR(INDEX(IMPORTRANGE(""1wF8uimz-gnzzmqfjHb8Ua7fudqcoq5SrFyToq2B2IO0"",""💰 Donations!A4:N200""),5,6),"""")"),"")</f>
        <v/>
      </c>
      <c r="I91" s="82" t="str">
        <f>IFERROR(__xludf.DUMMYFUNCTION("IFERROR(IF(INDEX(IMPORTRANGE(""1wF8uimz-gnzzmqfjHb8Ua7fudqcoq5SrFyToq2B2IO0"",""💰 Donations!A4:N200""),5,7)="""","""",TEXT(INDEX(IMPORTRANGE(""1wF8uimz-gnzzmqfjHb8Ua7fudqcoq5SrFyToq2B2IO0"",""💰 Donations!A4:N200""),5,7),""DD-MM-YYYY"")),"""")"),"")</f>
        <v/>
      </c>
      <c r="J91" s="83" t="str">
        <f>IFERROR(__xludf.DUMMYFUNCTION("IFERROR(INDEX(IMPORTRANGE(""1wF8uimz-gnzzmqfjHb8Ua7fudqcoq5SrFyToq2B2IO0"",""💰 Donations!A4:N200""),5,8),"""")"),"")</f>
        <v/>
      </c>
      <c r="K91" s="90" t="str">
        <f>IFERROR(__xludf.DUMMYFUNCTION("IFERROR(INDEX(IMPORTRANGE(""1wF8uimz-gnzzmqfjHb8Ua7fudqcoq5SrFyToq2B2IO0"",""💰 Donations!A4:N200""),5,11),"""")"),"")</f>
        <v/>
      </c>
      <c r="L91" s="50" t="str">
        <f>IFERROR(__xludf.DUMMYFUNCTION("IFERROR(INDEX(IMPORTRANGE(""1wF8uimz-gnzzmqfjHb8Ua7fudqcoq5SrFyToq2B2IO0"",""💰 Donations!A4:N200""),5,13),"""")"),"")</f>
        <v/>
      </c>
      <c r="M91" s="83" t="str">
        <f>IFERROR(__xludf.DUMMYFUNCTION("IFERROR(INDEX(IMPORTRANGE(""1wF8uimz-gnzzmqfjHb8Ua7fudqcoq5SrFyToq2B2IO0"",""💰 Donations!A4:N200""),5,14),"""")"),"")</f>
        <v/>
      </c>
      <c r="N91" s="82" t="str">
        <f>IFERROR(__xludf.DUMMYFUNCTION("IFERROR(IF(INDEX(IMPORTRANGE(""1wF8uimz-gnzzmqfjHb8Ua7fudqcoq5SrFyToq2B2IO0"",""💰 Donations!A4:N200""),5,10)="""","""",TEXT(INDEX(IMPORTRANGE(""1wF8uimz-gnzzmqfjHb8Ua7fudqcoq5SrFyToq2B2IO0"",""💰 Donations!A4:N200""),5,10),""DD-MM-YYYY"")),"""")"),"")</f>
        <v/>
      </c>
    </row>
    <row r="92" ht="18.0" customHeight="1">
      <c r="A92" s="22" t="str">
        <f>IFERROR(__xludf.DUMMYFUNCTION("IFERROR(INDEX(IMPORTRANGE(""1wF8uimz-gnzzmqfjHb8Ua7fudqcoq5SrFyToq2B2IO0"",""💰 Donations!A4:N200""),6,1),"""")"),"")</f>
        <v/>
      </c>
      <c r="B92" s="91" t="str">
        <f>IFERROR(__xludf.DUMMYFUNCTION("IFERROR(INDEX(IMPORTRANGE(""1wF8uimz-gnzzmqfjHb8Ua7fudqcoq5SrFyToq2B2IO0"",""💰 Donations!A4:N200""),6,2),"""")"),"")</f>
        <v/>
      </c>
      <c r="C92" s="3"/>
      <c r="D92" s="23">
        <f>IFERROR(__xludf.DUMMYFUNCTION("IFERROR(IFERROR(INDEX(IMPORTRANGE(""1wF8uimz-gnzzmqfjHb8Ua7fudqcoq5SrFyToq2B2IO0"",""💰 Donations!A4:N200""),6,3)*1,0),0)"),0.0)</f>
        <v>0</v>
      </c>
      <c r="E92" s="40">
        <f>IFERROR(__xludf.DUMMYFUNCTION("IFERROR(IFERROR(INDEX(IMPORTRANGE(""1wF8uimz-gnzzmqfjHb8Ua7fudqcoq5SrFyToq2B2IO0"",""💰 Donations!A4:N200""),6,4)*1,0),0)"),0.0)</f>
        <v>0</v>
      </c>
      <c r="F92" s="24">
        <f t="shared" si="5"/>
        <v>0</v>
      </c>
      <c r="G92" s="92" t="str">
        <f t="shared" si="6"/>
        <v/>
      </c>
      <c r="H92" s="54" t="str">
        <f>IFERROR(__xludf.DUMMYFUNCTION("IFERROR(INDEX(IMPORTRANGE(""1wF8uimz-gnzzmqfjHb8Ua7fudqcoq5SrFyToq2B2IO0"",""💰 Donations!A4:N200""),6,6),"""")"),"")</f>
        <v/>
      </c>
      <c r="I92" s="85" t="str">
        <f>IFERROR(__xludf.DUMMYFUNCTION("IFERROR(IF(INDEX(IMPORTRANGE(""1wF8uimz-gnzzmqfjHb8Ua7fudqcoq5SrFyToq2B2IO0"",""💰 Donations!A4:N200""),6,7)="""","""",TEXT(INDEX(IMPORTRANGE(""1wF8uimz-gnzzmqfjHb8Ua7fudqcoq5SrFyToq2B2IO0"",""💰 Donations!A4:N200""),6,7),""DD-MM-YYYY"")),"""")"),"")</f>
        <v/>
      </c>
      <c r="J92" s="86" t="str">
        <f>IFERROR(__xludf.DUMMYFUNCTION("IFERROR(INDEX(IMPORTRANGE(""1wF8uimz-gnzzmqfjHb8Ua7fudqcoq5SrFyToq2B2IO0"",""💰 Donations!A4:N200""),6,8),"""")"),"")</f>
        <v/>
      </c>
      <c r="K92" s="93" t="str">
        <f>IFERROR(__xludf.DUMMYFUNCTION("IFERROR(INDEX(IMPORTRANGE(""1wF8uimz-gnzzmqfjHb8Ua7fudqcoq5SrFyToq2B2IO0"",""💰 Donations!A4:N200""),6,11),"""")"),"")</f>
        <v/>
      </c>
      <c r="L92" s="54" t="str">
        <f>IFERROR(__xludf.DUMMYFUNCTION("IFERROR(INDEX(IMPORTRANGE(""1wF8uimz-gnzzmqfjHb8Ua7fudqcoq5SrFyToq2B2IO0"",""💰 Donations!A4:N200""),6,13),"""")"),"")</f>
        <v/>
      </c>
      <c r="M92" s="86" t="str">
        <f>IFERROR(__xludf.DUMMYFUNCTION("IFERROR(INDEX(IMPORTRANGE(""1wF8uimz-gnzzmqfjHb8Ua7fudqcoq5SrFyToq2B2IO0"",""💰 Donations!A4:N200""),6,14),"""")"),"")</f>
        <v/>
      </c>
      <c r="N92" s="85" t="str">
        <f>IFERROR(__xludf.DUMMYFUNCTION("IFERROR(IF(INDEX(IMPORTRANGE(""1wF8uimz-gnzzmqfjHb8Ua7fudqcoq5SrFyToq2B2IO0"",""💰 Donations!A4:N200""),6,10)="""","""",TEXT(INDEX(IMPORTRANGE(""1wF8uimz-gnzzmqfjHb8Ua7fudqcoq5SrFyToq2B2IO0"",""💰 Donations!A4:N200""),6,10),""DD-MM-YYYY"")),"""")"),"")</f>
        <v/>
      </c>
    </row>
    <row r="93" ht="18.0" customHeight="1">
      <c r="A93" s="19" t="str">
        <f>IFERROR(__xludf.DUMMYFUNCTION("IFERROR(INDEX(IMPORTRANGE(""1wF8uimz-gnzzmqfjHb8Ua7fudqcoq5SrFyToq2B2IO0"",""💰 Donations!A4:N200""),7,1),"""")"),"")</f>
        <v/>
      </c>
      <c r="B93" s="88" t="str">
        <f>IFERROR(__xludf.DUMMYFUNCTION("IFERROR(INDEX(IMPORTRANGE(""1wF8uimz-gnzzmqfjHb8Ua7fudqcoq5SrFyToq2B2IO0"",""💰 Donations!A4:N200""),7,2),"""")"),"")</f>
        <v/>
      </c>
      <c r="C93" s="3"/>
      <c r="D93" s="20">
        <f>IFERROR(__xludf.DUMMYFUNCTION("IFERROR(IFERROR(INDEX(IMPORTRANGE(""1wF8uimz-gnzzmqfjHb8Ua7fudqcoq5SrFyToq2B2IO0"",""💰 Donations!A4:N200""),7,3)*1,0),0)"),0.0)</f>
        <v>0</v>
      </c>
      <c r="E93" s="39">
        <f>IFERROR(__xludf.DUMMYFUNCTION("IFERROR(IFERROR(INDEX(IMPORTRANGE(""1wF8uimz-gnzzmqfjHb8Ua7fudqcoq5SrFyToq2B2IO0"",""💰 Donations!A4:N200""),7,4)*1,0),0)"),0.0)</f>
        <v>0</v>
      </c>
      <c r="F93" s="21">
        <f t="shared" si="5"/>
        <v>0</v>
      </c>
      <c r="G93" s="89" t="str">
        <f t="shared" si="6"/>
        <v/>
      </c>
      <c r="H93" s="50" t="str">
        <f>IFERROR(__xludf.DUMMYFUNCTION("IFERROR(INDEX(IMPORTRANGE(""1wF8uimz-gnzzmqfjHb8Ua7fudqcoq5SrFyToq2B2IO0"",""💰 Donations!A4:N200""),7,6),"""")"),"")</f>
        <v/>
      </c>
      <c r="I93" s="82" t="str">
        <f>IFERROR(__xludf.DUMMYFUNCTION("IFERROR(IF(INDEX(IMPORTRANGE(""1wF8uimz-gnzzmqfjHb8Ua7fudqcoq5SrFyToq2B2IO0"",""💰 Donations!A4:N200""),7,7)="""","""",TEXT(INDEX(IMPORTRANGE(""1wF8uimz-gnzzmqfjHb8Ua7fudqcoq5SrFyToq2B2IO0"",""💰 Donations!A4:N200""),7,7),""DD-MM-YYYY"")),"""")"),"")</f>
        <v/>
      </c>
      <c r="J93" s="83" t="str">
        <f>IFERROR(__xludf.DUMMYFUNCTION("IFERROR(INDEX(IMPORTRANGE(""1wF8uimz-gnzzmqfjHb8Ua7fudqcoq5SrFyToq2B2IO0"",""💰 Donations!A4:N200""),7,8),"""")"),"")</f>
        <v/>
      </c>
      <c r="K93" s="90" t="str">
        <f>IFERROR(__xludf.DUMMYFUNCTION("IFERROR(INDEX(IMPORTRANGE(""1wF8uimz-gnzzmqfjHb8Ua7fudqcoq5SrFyToq2B2IO0"",""💰 Donations!A4:N200""),7,11),"""")"),"")</f>
        <v/>
      </c>
      <c r="L93" s="50" t="str">
        <f>IFERROR(__xludf.DUMMYFUNCTION("IFERROR(INDEX(IMPORTRANGE(""1wF8uimz-gnzzmqfjHb8Ua7fudqcoq5SrFyToq2B2IO0"",""💰 Donations!A4:N200""),7,13),"""")"),"")</f>
        <v/>
      </c>
      <c r="M93" s="83" t="str">
        <f>IFERROR(__xludf.DUMMYFUNCTION("IFERROR(INDEX(IMPORTRANGE(""1wF8uimz-gnzzmqfjHb8Ua7fudqcoq5SrFyToq2B2IO0"",""💰 Donations!A4:N200""),7,14),"""")"),"")</f>
        <v/>
      </c>
      <c r="N93" s="82" t="str">
        <f>IFERROR(__xludf.DUMMYFUNCTION("IFERROR(IF(INDEX(IMPORTRANGE(""1wF8uimz-gnzzmqfjHb8Ua7fudqcoq5SrFyToq2B2IO0"",""💰 Donations!A4:N200""),7,10)="""","""",TEXT(INDEX(IMPORTRANGE(""1wF8uimz-gnzzmqfjHb8Ua7fudqcoq5SrFyToq2B2IO0"",""💰 Donations!A4:N200""),7,10),""DD-MM-YYYY"")),"""")"),"")</f>
        <v/>
      </c>
    </row>
    <row r="94" ht="18.0" customHeight="1">
      <c r="A94" s="22" t="str">
        <f>IFERROR(__xludf.DUMMYFUNCTION("IFERROR(INDEX(IMPORTRANGE(""1wF8uimz-gnzzmqfjHb8Ua7fudqcoq5SrFyToq2B2IO0"",""💰 Donations!A4:N200""),8,1),"""")"),"")</f>
        <v/>
      </c>
      <c r="B94" s="91" t="str">
        <f>IFERROR(__xludf.DUMMYFUNCTION("IFERROR(INDEX(IMPORTRANGE(""1wF8uimz-gnzzmqfjHb8Ua7fudqcoq5SrFyToq2B2IO0"",""💰 Donations!A4:N200""),8,2),"""")"),"")</f>
        <v/>
      </c>
      <c r="C94" s="3"/>
      <c r="D94" s="23">
        <f>IFERROR(__xludf.DUMMYFUNCTION("IFERROR(IFERROR(INDEX(IMPORTRANGE(""1wF8uimz-gnzzmqfjHb8Ua7fudqcoq5SrFyToq2B2IO0"",""💰 Donations!A4:N200""),8,3)*1,0),0)"),0.0)</f>
        <v>0</v>
      </c>
      <c r="E94" s="40">
        <f>IFERROR(__xludf.DUMMYFUNCTION("IFERROR(IFERROR(INDEX(IMPORTRANGE(""1wF8uimz-gnzzmqfjHb8Ua7fudqcoq5SrFyToq2B2IO0"",""💰 Donations!A4:N200""),8,4)*1,0),0)"),0.0)</f>
        <v>0</v>
      </c>
      <c r="F94" s="24">
        <f t="shared" si="5"/>
        <v>0</v>
      </c>
      <c r="G94" s="92" t="str">
        <f t="shared" si="6"/>
        <v/>
      </c>
      <c r="H94" s="54" t="str">
        <f>IFERROR(__xludf.DUMMYFUNCTION("IFERROR(INDEX(IMPORTRANGE(""1wF8uimz-gnzzmqfjHb8Ua7fudqcoq5SrFyToq2B2IO0"",""💰 Donations!A4:N200""),8,6),"""")"),"")</f>
        <v/>
      </c>
      <c r="I94" s="85" t="str">
        <f>IFERROR(__xludf.DUMMYFUNCTION("IFERROR(IF(INDEX(IMPORTRANGE(""1wF8uimz-gnzzmqfjHb8Ua7fudqcoq5SrFyToq2B2IO0"",""💰 Donations!A4:N200""),8,7)="""","""",TEXT(INDEX(IMPORTRANGE(""1wF8uimz-gnzzmqfjHb8Ua7fudqcoq5SrFyToq2B2IO0"",""💰 Donations!A4:N200""),8,7),""DD-MM-YYYY"")),"""")"),"")</f>
        <v/>
      </c>
      <c r="J94" s="86" t="str">
        <f>IFERROR(__xludf.DUMMYFUNCTION("IFERROR(INDEX(IMPORTRANGE(""1wF8uimz-gnzzmqfjHb8Ua7fudqcoq5SrFyToq2B2IO0"",""💰 Donations!A4:N200""),8,8),"""")"),"")</f>
        <v/>
      </c>
      <c r="K94" s="93" t="str">
        <f>IFERROR(__xludf.DUMMYFUNCTION("IFERROR(INDEX(IMPORTRANGE(""1wF8uimz-gnzzmqfjHb8Ua7fudqcoq5SrFyToq2B2IO0"",""💰 Donations!A4:N200""),8,11),"""")"),"")</f>
        <v/>
      </c>
      <c r="L94" s="54" t="str">
        <f>IFERROR(__xludf.DUMMYFUNCTION("IFERROR(INDEX(IMPORTRANGE(""1wF8uimz-gnzzmqfjHb8Ua7fudqcoq5SrFyToq2B2IO0"",""💰 Donations!A4:N200""),8,13),"""")"),"")</f>
        <v/>
      </c>
      <c r="M94" s="86" t="str">
        <f>IFERROR(__xludf.DUMMYFUNCTION("IFERROR(INDEX(IMPORTRANGE(""1wF8uimz-gnzzmqfjHb8Ua7fudqcoq5SrFyToq2B2IO0"",""💰 Donations!A4:N200""),8,14),"""")"),"")</f>
        <v/>
      </c>
      <c r="N94" s="85" t="str">
        <f>IFERROR(__xludf.DUMMYFUNCTION("IFERROR(IF(INDEX(IMPORTRANGE(""1wF8uimz-gnzzmqfjHb8Ua7fudqcoq5SrFyToq2B2IO0"",""💰 Donations!A4:N200""),8,10)="""","""",TEXT(INDEX(IMPORTRANGE(""1wF8uimz-gnzzmqfjHb8Ua7fudqcoq5SrFyToq2B2IO0"",""💰 Donations!A4:N200""),8,10),""DD-MM-YYYY"")),"""")"),"")</f>
        <v/>
      </c>
    </row>
    <row r="95" ht="18.0" customHeight="1">
      <c r="A95" s="19" t="str">
        <f>IFERROR(__xludf.DUMMYFUNCTION("IFERROR(INDEX(IMPORTRANGE(""1wF8uimz-gnzzmqfjHb8Ua7fudqcoq5SrFyToq2B2IO0"",""💰 Donations!A4:N200""),9,1),"""")"),"")</f>
        <v/>
      </c>
      <c r="B95" s="88" t="str">
        <f>IFERROR(__xludf.DUMMYFUNCTION("IFERROR(INDEX(IMPORTRANGE(""1wF8uimz-gnzzmqfjHb8Ua7fudqcoq5SrFyToq2B2IO0"",""💰 Donations!A4:N200""),9,2),"""")"),"")</f>
        <v/>
      </c>
      <c r="C95" s="3"/>
      <c r="D95" s="20">
        <f>IFERROR(__xludf.DUMMYFUNCTION("IFERROR(IFERROR(INDEX(IMPORTRANGE(""1wF8uimz-gnzzmqfjHb8Ua7fudqcoq5SrFyToq2B2IO0"",""💰 Donations!A4:N200""),9,3)*1,0),0)"),0.0)</f>
        <v>0</v>
      </c>
      <c r="E95" s="39">
        <f>IFERROR(__xludf.DUMMYFUNCTION("IFERROR(IFERROR(INDEX(IMPORTRANGE(""1wF8uimz-gnzzmqfjHb8Ua7fudqcoq5SrFyToq2B2IO0"",""💰 Donations!A4:N200""),9,4)*1,0),0)"),0.0)</f>
        <v>0</v>
      </c>
      <c r="F95" s="21">
        <f t="shared" si="5"/>
        <v>0</v>
      </c>
      <c r="G95" s="89" t="str">
        <f t="shared" si="6"/>
        <v/>
      </c>
      <c r="H95" s="50" t="str">
        <f>IFERROR(__xludf.DUMMYFUNCTION("IFERROR(INDEX(IMPORTRANGE(""1wF8uimz-gnzzmqfjHb8Ua7fudqcoq5SrFyToq2B2IO0"",""💰 Donations!A4:N200""),9,6),"""")"),"")</f>
        <v/>
      </c>
      <c r="I95" s="82" t="str">
        <f>IFERROR(__xludf.DUMMYFUNCTION("IFERROR(IF(INDEX(IMPORTRANGE(""1wF8uimz-gnzzmqfjHb8Ua7fudqcoq5SrFyToq2B2IO0"",""💰 Donations!A4:N200""),9,7)="""","""",TEXT(INDEX(IMPORTRANGE(""1wF8uimz-gnzzmqfjHb8Ua7fudqcoq5SrFyToq2B2IO0"",""💰 Donations!A4:N200""),9,7),""DD-MM-YYYY"")),"""")"),"")</f>
        <v/>
      </c>
      <c r="J95" s="83" t="str">
        <f>IFERROR(__xludf.DUMMYFUNCTION("IFERROR(INDEX(IMPORTRANGE(""1wF8uimz-gnzzmqfjHb8Ua7fudqcoq5SrFyToq2B2IO0"",""💰 Donations!A4:N200""),9,8),"""")"),"")</f>
        <v/>
      </c>
      <c r="K95" s="90" t="str">
        <f>IFERROR(__xludf.DUMMYFUNCTION("IFERROR(INDEX(IMPORTRANGE(""1wF8uimz-gnzzmqfjHb8Ua7fudqcoq5SrFyToq2B2IO0"",""💰 Donations!A4:N200""),9,11),"""")"),"")</f>
        <v/>
      </c>
      <c r="L95" s="50" t="str">
        <f>IFERROR(__xludf.DUMMYFUNCTION("IFERROR(INDEX(IMPORTRANGE(""1wF8uimz-gnzzmqfjHb8Ua7fudqcoq5SrFyToq2B2IO0"",""💰 Donations!A4:N200""),9,13),"""")"),"")</f>
        <v/>
      </c>
      <c r="M95" s="83" t="str">
        <f>IFERROR(__xludf.DUMMYFUNCTION("IFERROR(INDEX(IMPORTRANGE(""1wF8uimz-gnzzmqfjHb8Ua7fudqcoq5SrFyToq2B2IO0"",""💰 Donations!A4:N200""),9,14),"""")"),"")</f>
        <v/>
      </c>
      <c r="N95" s="82" t="str">
        <f>IFERROR(__xludf.DUMMYFUNCTION("IFERROR(IF(INDEX(IMPORTRANGE(""1wF8uimz-gnzzmqfjHb8Ua7fudqcoq5SrFyToq2B2IO0"",""💰 Donations!A4:N200""),9,10)="""","""",TEXT(INDEX(IMPORTRANGE(""1wF8uimz-gnzzmqfjHb8Ua7fudqcoq5SrFyToq2B2IO0"",""💰 Donations!A4:N200""),9,10),""DD-MM-YYYY"")),"""")"),"")</f>
        <v/>
      </c>
    </row>
    <row r="96" ht="18.0" customHeight="1">
      <c r="A96" s="22" t="str">
        <f>IFERROR(__xludf.DUMMYFUNCTION("IFERROR(INDEX(IMPORTRANGE(""1wF8uimz-gnzzmqfjHb8Ua7fudqcoq5SrFyToq2B2IO0"",""💰 Donations!A4:N200""),10,1),"""")"),"")</f>
        <v/>
      </c>
      <c r="B96" s="91" t="str">
        <f>IFERROR(__xludf.DUMMYFUNCTION("IFERROR(INDEX(IMPORTRANGE(""1wF8uimz-gnzzmqfjHb8Ua7fudqcoq5SrFyToq2B2IO0"",""💰 Donations!A4:N200""),10,2),"""")"),"")</f>
        <v/>
      </c>
      <c r="C96" s="3"/>
      <c r="D96" s="23">
        <f>IFERROR(__xludf.DUMMYFUNCTION("IFERROR(IFERROR(INDEX(IMPORTRANGE(""1wF8uimz-gnzzmqfjHb8Ua7fudqcoq5SrFyToq2B2IO0"",""💰 Donations!A4:N200""),10,3)*1,0),0)"),0.0)</f>
        <v>0</v>
      </c>
      <c r="E96" s="40">
        <f>IFERROR(__xludf.DUMMYFUNCTION("IFERROR(IFERROR(INDEX(IMPORTRANGE(""1wF8uimz-gnzzmqfjHb8Ua7fudqcoq5SrFyToq2B2IO0"",""💰 Donations!A4:N200""),10,4)*1,0),0)"),0.0)</f>
        <v>0</v>
      </c>
      <c r="F96" s="24">
        <f t="shared" si="5"/>
        <v>0</v>
      </c>
      <c r="G96" s="92" t="str">
        <f t="shared" si="6"/>
        <v/>
      </c>
      <c r="H96" s="54" t="str">
        <f>IFERROR(__xludf.DUMMYFUNCTION("IFERROR(INDEX(IMPORTRANGE(""1wF8uimz-gnzzmqfjHb8Ua7fudqcoq5SrFyToq2B2IO0"",""💰 Donations!A4:N200""),10,6),"""")"),"")</f>
        <v/>
      </c>
      <c r="I96" s="85" t="str">
        <f>IFERROR(__xludf.DUMMYFUNCTION("IFERROR(IF(INDEX(IMPORTRANGE(""1wF8uimz-gnzzmqfjHb8Ua7fudqcoq5SrFyToq2B2IO0"",""💰 Donations!A4:N200""),10,7)="""","""",TEXT(INDEX(IMPORTRANGE(""1wF8uimz-gnzzmqfjHb8Ua7fudqcoq5SrFyToq2B2IO0"",""💰 Donations!A4:N200""),10,7),""DD-MM-YYYY"")),"""")"),"")</f>
        <v/>
      </c>
      <c r="J96" s="86" t="str">
        <f>IFERROR(__xludf.DUMMYFUNCTION("IFERROR(INDEX(IMPORTRANGE(""1wF8uimz-gnzzmqfjHb8Ua7fudqcoq5SrFyToq2B2IO0"",""💰 Donations!A4:N200""),10,8),"""")"),"")</f>
        <v/>
      </c>
      <c r="K96" s="93" t="str">
        <f>IFERROR(__xludf.DUMMYFUNCTION("IFERROR(INDEX(IMPORTRANGE(""1wF8uimz-gnzzmqfjHb8Ua7fudqcoq5SrFyToq2B2IO0"",""💰 Donations!A4:N200""),10,11),"""")"),"")</f>
        <v/>
      </c>
      <c r="L96" s="54" t="str">
        <f>IFERROR(__xludf.DUMMYFUNCTION("IFERROR(INDEX(IMPORTRANGE(""1wF8uimz-gnzzmqfjHb8Ua7fudqcoq5SrFyToq2B2IO0"",""💰 Donations!A4:N200""),10,13),"""")"),"")</f>
        <v/>
      </c>
      <c r="M96" s="86" t="str">
        <f>IFERROR(__xludf.DUMMYFUNCTION("IFERROR(INDEX(IMPORTRANGE(""1wF8uimz-gnzzmqfjHb8Ua7fudqcoq5SrFyToq2B2IO0"",""💰 Donations!A4:N200""),10,14),"""")"),"")</f>
        <v/>
      </c>
      <c r="N96" s="85" t="str">
        <f>IFERROR(__xludf.DUMMYFUNCTION("IFERROR(IF(INDEX(IMPORTRANGE(""1wF8uimz-gnzzmqfjHb8Ua7fudqcoq5SrFyToq2B2IO0"",""💰 Donations!A4:N200""),10,10)="""","""",TEXT(INDEX(IMPORTRANGE(""1wF8uimz-gnzzmqfjHb8Ua7fudqcoq5SrFyToq2B2IO0"",""💰 Donations!A4:N200""),10,10),""DD-MM-YYYY"")),"""")"),"")</f>
        <v/>
      </c>
    </row>
    <row r="97" ht="18.0" customHeight="1">
      <c r="A97" s="19" t="str">
        <f>IFERROR(__xludf.DUMMYFUNCTION("IFERROR(INDEX(IMPORTRANGE(""1wF8uimz-gnzzmqfjHb8Ua7fudqcoq5SrFyToq2B2IO0"",""💰 Donations!A4:N200""),11,1),"""")"),"")</f>
        <v/>
      </c>
      <c r="B97" s="88" t="str">
        <f>IFERROR(__xludf.DUMMYFUNCTION("IFERROR(INDEX(IMPORTRANGE(""1wF8uimz-gnzzmqfjHb8Ua7fudqcoq5SrFyToq2B2IO0"",""💰 Donations!A4:N200""),11,2),"""")"),"")</f>
        <v/>
      </c>
      <c r="C97" s="3"/>
      <c r="D97" s="20">
        <f>IFERROR(__xludf.DUMMYFUNCTION("IFERROR(IFERROR(INDEX(IMPORTRANGE(""1wF8uimz-gnzzmqfjHb8Ua7fudqcoq5SrFyToq2B2IO0"",""💰 Donations!A4:N200""),11,3)*1,0),0)"),0.0)</f>
        <v>0</v>
      </c>
      <c r="E97" s="39">
        <f>IFERROR(__xludf.DUMMYFUNCTION("IFERROR(IFERROR(INDEX(IMPORTRANGE(""1wF8uimz-gnzzmqfjHb8Ua7fudqcoq5SrFyToq2B2IO0"",""💰 Donations!A4:N200""),11,4)*1,0),0)"),0.0)</f>
        <v>0</v>
      </c>
      <c r="F97" s="21">
        <f t="shared" si="5"/>
        <v>0</v>
      </c>
      <c r="G97" s="89" t="str">
        <f t="shared" si="6"/>
        <v/>
      </c>
      <c r="H97" s="50" t="str">
        <f>IFERROR(__xludf.DUMMYFUNCTION("IFERROR(INDEX(IMPORTRANGE(""1wF8uimz-gnzzmqfjHb8Ua7fudqcoq5SrFyToq2B2IO0"",""💰 Donations!A4:N200""),11,6),"""")"),"")</f>
        <v/>
      </c>
      <c r="I97" s="82" t="str">
        <f>IFERROR(__xludf.DUMMYFUNCTION("IFERROR(IF(INDEX(IMPORTRANGE(""1wF8uimz-gnzzmqfjHb8Ua7fudqcoq5SrFyToq2B2IO0"",""💰 Donations!A4:N200""),11,7)="""","""",TEXT(INDEX(IMPORTRANGE(""1wF8uimz-gnzzmqfjHb8Ua7fudqcoq5SrFyToq2B2IO0"",""💰 Donations!A4:N200""),11,7),""DD-MM-YYYY"")),"""")"),"")</f>
        <v/>
      </c>
      <c r="J97" s="83" t="str">
        <f>IFERROR(__xludf.DUMMYFUNCTION("IFERROR(INDEX(IMPORTRANGE(""1wF8uimz-gnzzmqfjHb8Ua7fudqcoq5SrFyToq2B2IO0"",""💰 Donations!A4:N200""),11,8),"""")"),"")</f>
        <v/>
      </c>
      <c r="K97" s="90" t="str">
        <f>IFERROR(__xludf.DUMMYFUNCTION("IFERROR(INDEX(IMPORTRANGE(""1wF8uimz-gnzzmqfjHb8Ua7fudqcoq5SrFyToq2B2IO0"",""💰 Donations!A4:N200""),11,11),"""")"),"")</f>
        <v/>
      </c>
      <c r="L97" s="50" t="str">
        <f>IFERROR(__xludf.DUMMYFUNCTION("IFERROR(INDEX(IMPORTRANGE(""1wF8uimz-gnzzmqfjHb8Ua7fudqcoq5SrFyToq2B2IO0"",""💰 Donations!A4:N200""),11,13),"""")"),"")</f>
        <v/>
      </c>
      <c r="M97" s="83" t="str">
        <f>IFERROR(__xludf.DUMMYFUNCTION("IFERROR(INDEX(IMPORTRANGE(""1wF8uimz-gnzzmqfjHb8Ua7fudqcoq5SrFyToq2B2IO0"",""💰 Donations!A4:N200""),11,14),"""")"),"")</f>
        <v/>
      </c>
      <c r="N97" s="82" t="str">
        <f>IFERROR(__xludf.DUMMYFUNCTION("IFERROR(IF(INDEX(IMPORTRANGE(""1wF8uimz-gnzzmqfjHb8Ua7fudqcoq5SrFyToq2B2IO0"",""💰 Donations!A4:N200""),11,10)="""","""",TEXT(INDEX(IMPORTRANGE(""1wF8uimz-gnzzmqfjHb8Ua7fudqcoq5SrFyToq2B2IO0"",""💰 Donations!A4:N200""),11,10),""DD-MM-YYYY"")),"""")"),"")</f>
        <v/>
      </c>
    </row>
    <row r="98" ht="18.0" customHeight="1">
      <c r="A98" s="22" t="str">
        <f>IFERROR(__xludf.DUMMYFUNCTION("IFERROR(INDEX(IMPORTRANGE(""1wF8uimz-gnzzmqfjHb8Ua7fudqcoq5SrFyToq2B2IO0"",""💰 Donations!A4:N200""),12,1),"""")"),"")</f>
        <v/>
      </c>
      <c r="B98" s="91" t="str">
        <f>IFERROR(__xludf.DUMMYFUNCTION("IFERROR(INDEX(IMPORTRANGE(""1wF8uimz-gnzzmqfjHb8Ua7fudqcoq5SrFyToq2B2IO0"",""💰 Donations!A4:N200""),12,2),"""")"),"")</f>
        <v/>
      </c>
      <c r="C98" s="3"/>
      <c r="D98" s="23">
        <f>IFERROR(__xludf.DUMMYFUNCTION("IFERROR(IFERROR(INDEX(IMPORTRANGE(""1wF8uimz-gnzzmqfjHb8Ua7fudqcoq5SrFyToq2B2IO0"",""💰 Donations!A4:N200""),12,3)*1,0),0)"),0.0)</f>
        <v>0</v>
      </c>
      <c r="E98" s="40">
        <f>IFERROR(__xludf.DUMMYFUNCTION("IFERROR(IFERROR(INDEX(IMPORTRANGE(""1wF8uimz-gnzzmqfjHb8Ua7fudqcoq5SrFyToq2B2IO0"",""💰 Donations!A4:N200""),12,4)*1,0),0)"),0.0)</f>
        <v>0</v>
      </c>
      <c r="F98" s="24">
        <f t="shared" si="5"/>
        <v>0</v>
      </c>
      <c r="G98" s="92" t="str">
        <f t="shared" si="6"/>
        <v/>
      </c>
      <c r="H98" s="54" t="str">
        <f>IFERROR(__xludf.DUMMYFUNCTION("IFERROR(INDEX(IMPORTRANGE(""1wF8uimz-gnzzmqfjHb8Ua7fudqcoq5SrFyToq2B2IO0"",""💰 Donations!A4:N200""),12,6),"""")"),"")</f>
        <v/>
      </c>
      <c r="I98" s="85" t="str">
        <f>IFERROR(__xludf.DUMMYFUNCTION("IFERROR(IF(INDEX(IMPORTRANGE(""1wF8uimz-gnzzmqfjHb8Ua7fudqcoq5SrFyToq2B2IO0"",""💰 Donations!A4:N200""),12,7)="""","""",TEXT(INDEX(IMPORTRANGE(""1wF8uimz-gnzzmqfjHb8Ua7fudqcoq5SrFyToq2B2IO0"",""💰 Donations!A4:N200""),12,7),""DD-MM-YYYY"")),"""")"),"")</f>
        <v/>
      </c>
      <c r="J98" s="86" t="str">
        <f>IFERROR(__xludf.DUMMYFUNCTION("IFERROR(INDEX(IMPORTRANGE(""1wF8uimz-gnzzmqfjHb8Ua7fudqcoq5SrFyToq2B2IO0"",""💰 Donations!A4:N200""),12,8),"""")"),"")</f>
        <v/>
      </c>
      <c r="K98" s="93" t="str">
        <f>IFERROR(__xludf.DUMMYFUNCTION("IFERROR(INDEX(IMPORTRANGE(""1wF8uimz-gnzzmqfjHb8Ua7fudqcoq5SrFyToq2B2IO0"",""💰 Donations!A4:N200""),12,11),"""")"),"")</f>
        <v/>
      </c>
      <c r="L98" s="54" t="str">
        <f>IFERROR(__xludf.DUMMYFUNCTION("IFERROR(INDEX(IMPORTRANGE(""1wF8uimz-gnzzmqfjHb8Ua7fudqcoq5SrFyToq2B2IO0"",""💰 Donations!A4:N200""),12,13),"""")"),"")</f>
        <v/>
      </c>
      <c r="M98" s="86" t="str">
        <f>IFERROR(__xludf.DUMMYFUNCTION("IFERROR(INDEX(IMPORTRANGE(""1wF8uimz-gnzzmqfjHb8Ua7fudqcoq5SrFyToq2B2IO0"",""💰 Donations!A4:N200""),12,14),"""")"),"")</f>
        <v/>
      </c>
      <c r="N98" s="85" t="str">
        <f>IFERROR(__xludf.DUMMYFUNCTION("IFERROR(IF(INDEX(IMPORTRANGE(""1wF8uimz-gnzzmqfjHb8Ua7fudqcoq5SrFyToq2B2IO0"",""💰 Donations!A4:N200""),12,10)="""","""",TEXT(INDEX(IMPORTRANGE(""1wF8uimz-gnzzmqfjHb8Ua7fudqcoq5SrFyToq2B2IO0"",""💰 Donations!A4:N200""),12,10),""DD-MM-YYYY"")),"""")"),"")</f>
        <v/>
      </c>
    </row>
    <row r="99" ht="18.0" customHeight="1">
      <c r="A99" s="19" t="str">
        <f>IFERROR(__xludf.DUMMYFUNCTION("IFERROR(INDEX(IMPORTRANGE(""1wF8uimz-gnzzmqfjHb8Ua7fudqcoq5SrFyToq2B2IO0"",""💰 Donations!A4:N200""),13,1),"""")"),"")</f>
        <v/>
      </c>
      <c r="B99" s="88" t="str">
        <f>IFERROR(__xludf.DUMMYFUNCTION("IFERROR(INDEX(IMPORTRANGE(""1wF8uimz-gnzzmqfjHb8Ua7fudqcoq5SrFyToq2B2IO0"",""💰 Donations!A4:N200""),13,2),"""")"),"")</f>
        <v/>
      </c>
      <c r="C99" s="3"/>
      <c r="D99" s="20">
        <f>IFERROR(__xludf.DUMMYFUNCTION("IFERROR(IFERROR(INDEX(IMPORTRANGE(""1wF8uimz-gnzzmqfjHb8Ua7fudqcoq5SrFyToq2B2IO0"",""💰 Donations!A4:N200""),13,3)*1,0),0)"),0.0)</f>
        <v>0</v>
      </c>
      <c r="E99" s="39">
        <f>IFERROR(__xludf.DUMMYFUNCTION("IFERROR(IFERROR(INDEX(IMPORTRANGE(""1wF8uimz-gnzzmqfjHb8Ua7fudqcoq5SrFyToq2B2IO0"",""💰 Donations!A4:N200""),13,4)*1,0),0)"),0.0)</f>
        <v>0</v>
      </c>
      <c r="F99" s="21">
        <f t="shared" si="5"/>
        <v>0</v>
      </c>
      <c r="G99" s="89" t="str">
        <f t="shared" si="6"/>
        <v/>
      </c>
      <c r="H99" s="50" t="str">
        <f>IFERROR(__xludf.DUMMYFUNCTION("IFERROR(INDEX(IMPORTRANGE(""1wF8uimz-gnzzmqfjHb8Ua7fudqcoq5SrFyToq2B2IO0"",""💰 Donations!A4:N200""),13,6),"""")"),"")</f>
        <v/>
      </c>
      <c r="I99" s="82" t="str">
        <f>IFERROR(__xludf.DUMMYFUNCTION("IFERROR(IF(INDEX(IMPORTRANGE(""1wF8uimz-gnzzmqfjHb8Ua7fudqcoq5SrFyToq2B2IO0"",""💰 Donations!A4:N200""),13,7)="""","""",TEXT(INDEX(IMPORTRANGE(""1wF8uimz-gnzzmqfjHb8Ua7fudqcoq5SrFyToq2B2IO0"",""💰 Donations!A4:N200""),13,7),""DD-MM-YYYY"")),"""")"),"")</f>
        <v/>
      </c>
      <c r="J99" s="83" t="str">
        <f>IFERROR(__xludf.DUMMYFUNCTION("IFERROR(INDEX(IMPORTRANGE(""1wF8uimz-gnzzmqfjHb8Ua7fudqcoq5SrFyToq2B2IO0"",""💰 Donations!A4:N200""),13,8),"""")"),"")</f>
        <v/>
      </c>
      <c r="K99" s="90" t="str">
        <f>IFERROR(__xludf.DUMMYFUNCTION("IFERROR(INDEX(IMPORTRANGE(""1wF8uimz-gnzzmqfjHb8Ua7fudqcoq5SrFyToq2B2IO0"",""💰 Donations!A4:N200""),13,11),"""")"),"")</f>
        <v/>
      </c>
      <c r="L99" s="50" t="str">
        <f>IFERROR(__xludf.DUMMYFUNCTION("IFERROR(INDEX(IMPORTRANGE(""1wF8uimz-gnzzmqfjHb8Ua7fudqcoq5SrFyToq2B2IO0"",""💰 Donations!A4:N200""),13,13),"""")"),"")</f>
        <v/>
      </c>
      <c r="M99" s="83" t="str">
        <f>IFERROR(__xludf.DUMMYFUNCTION("IFERROR(INDEX(IMPORTRANGE(""1wF8uimz-gnzzmqfjHb8Ua7fudqcoq5SrFyToq2B2IO0"",""💰 Donations!A4:N200""),13,14),"""")"),"")</f>
        <v/>
      </c>
      <c r="N99" s="82" t="str">
        <f>IFERROR(__xludf.DUMMYFUNCTION("IFERROR(IF(INDEX(IMPORTRANGE(""1wF8uimz-gnzzmqfjHb8Ua7fudqcoq5SrFyToq2B2IO0"",""💰 Donations!A4:N200""),13,10)="""","""",TEXT(INDEX(IMPORTRANGE(""1wF8uimz-gnzzmqfjHb8Ua7fudqcoq5SrFyToq2B2IO0"",""💰 Donations!A4:N200""),13,10),""DD-MM-YYYY"")),"""")"),"")</f>
        <v/>
      </c>
    </row>
    <row r="100" ht="18.0" customHeight="1">
      <c r="A100" s="22" t="str">
        <f>IFERROR(__xludf.DUMMYFUNCTION("IFERROR(INDEX(IMPORTRANGE(""1wF8uimz-gnzzmqfjHb8Ua7fudqcoq5SrFyToq2B2IO0"",""💰 Donations!A4:N200""),14,1),"""")"),"")</f>
        <v/>
      </c>
      <c r="B100" s="91" t="str">
        <f>IFERROR(__xludf.DUMMYFUNCTION("IFERROR(INDEX(IMPORTRANGE(""1wF8uimz-gnzzmqfjHb8Ua7fudqcoq5SrFyToq2B2IO0"",""💰 Donations!A4:N200""),14,2),"""")"),"")</f>
        <v/>
      </c>
      <c r="C100" s="3"/>
      <c r="D100" s="23">
        <f>IFERROR(__xludf.DUMMYFUNCTION("IFERROR(IFERROR(INDEX(IMPORTRANGE(""1wF8uimz-gnzzmqfjHb8Ua7fudqcoq5SrFyToq2B2IO0"",""💰 Donations!A4:N200""),14,3)*1,0),0)"),0.0)</f>
        <v>0</v>
      </c>
      <c r="E100" s="40">
        <f>IFERROR(__xludf.DUMMYFUNCTION("IFERROR(IFERROR(INDEX(IMPORTRANGE(""1wF8uimz-gnzzmqfjHb8Ua7fudqcoq5SrFyToq2B2IO0"",""💰 Donations!A4:N200""),14,4)*1,0),0)"),0.0)</f>
        <v>0</v>
      </c>
      <c r="F100" s="24">
        <f t="shared" si="5"/>
        <v>0</v>
      </c>
      <c r="G100" s="92" t="str">
        <f t="shared" si="6"/>
        <v/>
      </c>
      <c r="H100" s="54" t="str">
        <f>IFERROR(__xludf.DUMMYFUNCTION("IFERROR(INDEX(IMPORTRANGE(""1wF8uimz-gnzzmqfjHb8Ua7fudqcoq5SrFyToq2B2IO0"",""💰 Donations!A4:N200""),14,6),"""")"),"")</f>
        <v/>
      </c>
      <c r="I100" s="85" t="str">
        <f>IFERROR(__xludf.DUMMYFUNCTION("IFERROR(IF(INDEX(IMPORTRANGE(""1wF8uimz-gnzzmqfjHb8Ua7fudqcoq5SrFyToq2B2IO0"",""💰 Donations!A4:N200""),14,7)="""","""",TEXT(INDEX(IMPORTRANGE(""1wF8uimz-gnzzmqfjHb8Ua7fudqcoq5SrFyToq2B2IO0"",""💰 Donations!A4:N200""),14,7),""DD-MM-YYYY"")),"""")"),"")</f>
        <v/>
      </c>
      <c r="J100" s="86" t="str">
        <f>IFERROR(__xludf.DUMMYFUNCTION("IFERROR(INDEX(IMPORTRANGE(""1wF8uimz-gnzzmqfjHb8Ua7fudqcoq5SrFyToq2B2IO0"",""💰 Donations!A4:N200""),14,8),"""")"),"")</f>
        <v/>
      </c>
      <c r="K100" s="93" t="str">
        <f>IFERROR(__xludf.DUMMYFUNCTION("IFERROR(INDEX(IMPORTRANGE(""1wF8uimz-gnzzmqfjHb8Ua7fudqcoq5SrFyToq2B2IO0"",""💰 Donations!A4:N200""),14,11),"""")"),"")</f>
        <v/>
      </c>
      <c r="L100" s="54" t="str">
        <f>IFERROR(__xludf.DUMMYFUNCTION("IFERROR(INDEX(IMPORTRANGE(""1wF8uimz-gnzzmqfjHb8Ua7fudqcoq5SrFyToq2B2IO0"",""💰 Donations!A4:N200""),14,13),"""")"),"")</f>
        <v/>
      </c>
      <c r="M100" s="86" t="str">
        <f>IFERROR(__xludf.DUMMYFUNCTION("IFERROR(INDEX(IMPORTRANGE(""1wF8uimz-gnzzmqfjHb8Ua7fudqcoq5SrFyToq2B2IO0"",""💰 Donations!A4:N200""),14,14),"""")"),"")</f>
        <v/>
      </c>
      <c r="N100" s="85" t="str">
        <f>IFERROR(__xludf.DUMMYFUNCTION("IFERROR(IF(INDEX(IMPORTRANGE(""1wF8uimz-gnzzmqfjHb8Ua7fudqcoq5SrFyToq2B2IO0"",""💰 Donations!A4:N200""),14,10)="""","""",TEXT(INDEX(IMPORTRANGE(""1wF8uimz-gnzzmqfjHb8Ua7fudqcoq5SrFyToq2B2IO0"",""💰 Donations!A4:N200""),14,10),""DD-MM-YYYY"")),"""")"),"")</f>
        <v/>
      </c>
    </row>
    <row r="101" ht="18.0" customHeight="1">
      <c r="A101" s="19" t="str">
        <f>IFERROR(__xludf.DUMMYFUNCTION("IFERROR(INDEX(IMPORTRANGE(""1wF8uimz-gnzzmqfjHb8Ua7fudqcoq5SrFyToq2B2IO0"",""💰 Donations!A4:N200""),15,1),"""")"),"")</f>
        <v/>
      </c>
      <c r="B101" s="88" t="str">
        <f>IFERROR(__xludf.DUMMYFUNCTION("IFERROR(INDEX(IMPORTRANGE(""1wF8uimz-gnzzmqfjHb8Ua7fudqcoq5SrFyToq2B2IO0"",""💰 Donations!A4:N200""),15,2),"""")"),"")</f>
        <v/>
      </c>
      <c r="C101" s="3"/>
      <c r="D101" s="20">
        <f>IFERROR(__xludf.DUMMYFUNCTION("IFERROR(IFERROR(INDEX(IMPORTRANGE(""1wF8uimz-gnzzmqfjHb8Ua7fudqcoq5SrFyToq2B2IO0"",""💰 Donations!A4:N200""),15,3)*1,0),0)"),0.0)</f>
        <v>0</v>
      </c>
      <c r="E101" s="39">
        <f>IFERROR(__xludf.DUMMYFUNCTION("IFERROR(IFERROR(INDEX(IMPORTRANGE(""1wF8uimz-gnzzmqfjHb8Ua7fudqcoq5SrFyToq2B2IO0"",""💰 Donations!A4:N200""),15,4)*1,0),0)"),0.0)</f>
        <v>0</v>
      </c>
      <c r="F101" s="21">
        <f t="shared" si="5"/>
        <v>0</v>
      </c>
      <c r="G101" s="89" t="str">
        <f t="shared" si="6"/>
        <v/>
      </c>
      <c r="H101" s="50" t="str">
        <f>IFERROR(__xludf.DUMMYFUNCTION("IFERROR(INDEX(IMPORTRANGE(""1wF8uimz-gnzzmqfjHb8Ua7fudqcoq5SrFyToq2B2IO0"",""💰 Donations!A4:N200""),15,6),"""")"),"")</f>
        <v/>
      </c>
      <c r="I101" s="82" t="str">
        <f>IFERROR(__xludf.DUMMYFUNCTION("IFERROR(IF(INDEX(IMPORTRANGE(""1wF8uimz-gnzzmqfjHb8Ua7fudqcoq5SrFyToq2B2IO0"",""💰 Donations!A4:N200""),15,7)="""","""",TEXT(INDEX(IMPORTRANGE(""1wF8uimz-gnzzmqfjHb8Ua7fudqcoq5SrFyToq2B2IO0"",""💰 Donations!A4:N200""),15,7),""DD-MM-YYYY"")),"""")"),"")</f>
        <v/>
      </c>
      <c r="J101" s="83" t="str">
        <f>IFERROR(__xludf.DUMMYFUNCTION("IFERROR(INDEX(IMPORTRANGE(""1wF8uimz-gnzzmqfjHb8Ua7fudqcoq5SrFyToq2B2IO0"",""💰 Donations!A4:N200""),15,8),"""")"),"")</f>
        <v/>
      </c>
      <c r="K101" s="90" t="str">
        <f>IFERROR(__xludf.DUMMYFUNCTION("IFERROR(INDEX(IMPORTRANGE(""1wF8uimz-gnzzmqfjHb8Ua7fudqcoq5SrFyToq2B2IO0"",""💰 Donations!A4:N200""),15,11),"""")"),"")</f>
        <v/>
      </c>
      <c r="L101" s="50" t="str">
        <f>IFERROR(__xludf.DUMMYFUNCTION("IFERROR(INDEX(IMPORTRANGE(""1wF8uimz-gnzzmqfjHb8Ua7fudqcoq5SrFyToq2B2IO0"",""💰 Donations!A4:N200""),15,13),"""")"),"")</f>
        <v/>
      </c>
      <c r="M101" s="83" t="str">
        <f>IFERROR(__xludf.DUMMYFUNCTION("IFERROR(INDEX(IMPORTRANGE(""1wF8uimz-gnzzmqfjHb8Ua7fudqcoq5SrFyToq2B2IO0"",""💰 Donations!A4:N200""),15,14),"""")"),"")</f>
        <v/>
      </c>
      <c r="N101" s="82" t="str">
        <f>IFERROR(__xludf.DUMMYFUNCTION("IFERROR(IF(INDEX(IMPORTRANGE(""1wF8uimz-gnzzmqfjHb8Ua7fudqcoq5SrFyToq2B2IO0"",""💰 Donations!A4:N200""),15,10)="""","""",TEXT(INDEX(IMPORTRANGE(""1wF8uimz-gnzzmqfjHb8Ua7fudqcoq5SrFyToq2B2IO0"",""💰 Donations!A4:N200""),15,10),""DD-MM-YYYY"")),"""")"),"")</f>
        <v/>
      </c>
    </row>
    <row r="102" ht="18.0" customHeight="1">
      <c r="A102" s="22" t="str">
        <f>IFERROR(__xludf.DUMMYFUNCTION("IFERROR(INDEX(IMPORTRANGE(""1wF8uimz-gnzzmqfjHb8Ua7fudqcoq5SrFyToq2B2IO0"",""💰 Donations!A4:N200""),16,1),"""")"),"")</f>
        <v/>
      </c>
      <c r="B102" s="91" t="str">
        <f>IFERROR(__xludf.DUMMYFUNCTION("IFERROR(INDEX(IMPORTRANGE(""1wF8uimz-gnzzmqfjHb8Ua7fudqcoq5SrFyToq2B2IO0"",""💰 Donations!A4:N200""),16,2),"""")"),"")</f>
        <v/>
      </c>
      <c r="C102" s="3"/>
      <c r="D102" s="23">
        <f>IFERROR(__xludf.DUMMYFUNCTION("IFERROR(IFERROR(INDEX(IMPORTRANGE(""1wF8uimz-gnzzmqfjHb8Ua7fudqcoq5SrFyToq2B2IO0"",""💰 Donations!A4:N200""),16,3)*1,0),0)"),0.0)</f>
        <v>0</v>
      </c>
      <c r="E102" s="40">
        <f>IFERROR(__xludf.DUMMYFUNCTION("IFERROR(IFERROR(INDEX(IMPORTRANGE(""1wF8uimz-gnzzmqfjHb8Ua7fudqcoq5SrFyToq2B2IO0"",""💰 Donations!A4:N200""),16,4)*1,0),0)"),0.0)</f>
        <v>0</v>
      </c>
      <c r="F102" s="24">
        <f t="shared" si="5"/>
        <v>0</v>
      </c>
      <c r="G102" s="92" t="str">
        <f t="shared" si="6"/>
        <v/>
      </c>
      <c r="H102" s="54" t="str">
        <f>IFERROR(__xludf.DUMMYFUNCTION("IFERROR(INDEX(IMPORTRANGE(""1wF8uimz-gnzzmqfjHb8Ua7fudqcoq5SrFyToq2B2IO0"",""💰 Donations!A4:N200""),16,6),"""")"),"")</f>
        <v/>
      </c>
      <c r="I102" s="85" t="str">
        <f>IFERROR(__xludf.DUMMYFUNCTION("IFERROR(IF(INDEX(IMPORTRANGE(""1wF8uimz-gnzzmqfjHb8Ua7fudqcoq5SrFyToq2B2IO0"",""💰 Donations!A4:N200""),16,7)="""","""",TEXT(INDEX(IMPORTRANGE(""1wF8uimz-gnzzmqfjHb8Ua7fudqcoq5SrFyToq2B2IO0"",""💰 Donations!A4:N200""),16,7),""DD-MM-YYYY"")),"""")"),"")</f>
        <v/>
      </c>
      <c r="J102" s="86" t="str">
        <f>IFERROR(__xludf.DUMMYFUNCTION("IFERROR(INDEX(IMPORTRANGE(""1wF8uimz-gnzzmqfjHb8Ua7fudqcoq5SrFyToq2B2IO0"",""💰 Donations!A4:N200""),16,8),"""")"),"")</f>
        <v/>
      </c>
      <c r="K102" s="93" t="str">
        <f>IFERROR(__xludf.DUMMYFUNCTION("IFERROR(INDEX(IMPORTRANGE(""1wF8uimz-gnzzmqfjHb8Ua7fudqcoq5SrFyToq2B2IO0"",""💰 Donations!A4:N200""),16,11),"""")"),"")</f>
        <v/>
      </c>
      <c r="L102" s="54" t="str">
        <f>IFERROR(__xludf.DUMMYFUNCTION("IFERROR(INDEX(IMPORTRANGE(""1wF8uimz-gnzzmqfjHb8Ua7fudqcoq5SrFyToq2B2IO0"",""💰 Donations!A4:N200""),16,13),"""")"),"")</f>
        <v/>
      </c>
      <c r="M102" s="86" t="str">
        <f>IFERROR(__xludf.DUMMYFUNCTION("IFERROR(INDEX(IMPORTRANGE(""1wF8uimz-gnzzmqfjHb8Ua7fudqcoq5SrFyToq2B2IO0"",""💰 Donations!A4:N200""),16,14),"""")"),"")</f>
        <v/>
      </c>
      <c r="N102" s="85" t="str">
        <f>IFERROR(__xludf.DUMMYFUNCTION("IFERROR(IF(INDEX(IMPORTRANGE(""1wF8uimz-gnzzmqfjHb8Ua7fudqcoq5SrFyToq2B2IO0"",""💰 Donations!A4:N200""),16,10)="""","""",TEXT(INDEX(IMPORTRANGE(""1wF8uimz-gnzzmqfjHb8Ua7fudqcoq5SrFyToq2B2IO0"",""💰 Donations!A4:N200""),16,10),""DD-MM-YYYY"")),"""")"),"")</f>
        <v/>
      </c>
    </row>
    <row r="103" ht="18.0" customHeight="1">
      <c r="A103" s="19" t="str">
        <f>IFERROR(__xludf.DUMMYFUNCTION("IFERROR(INDEX(IMPORTRANGE(""1wF8uimz-gnzzmqfjHb8Ua7fudqcoq5SrFyToq2B2IO0"",""💰 Donations!A4:N200""),17,1),"""")"),"")</f>
        <v/>
      </c>
      <c r="B103" s="88" t="str">
        <f>IFERROR(__xludf.DUMMYFUNCTION("IFERROR(INDEX(IMPORTRANGE(""1wF8uimz-gnzzmqfjHb8Ua7fudqcoq5SrFyToq2B2IO0"",""💰 Donations!A4:N200""),17,2),"""")"),"")</f>
        <v/>
      </c>
      <c r="C103" s="3"/>
      <c r="D103" s="20">
        <f>IFERROR(__xludf.DUMMYFUNCTION("IFERROR(IFERROR(INDEX(IMPORTRANGE(""1wF8uimz-gnzzmqfjHb8Ua7fudqcoq5SrFyToq2B2IO0"",""💰 Donations!A4:N200""),17,3)*1,0),0)"),0.0)</f>
        <v>0</v>
      </c>
      <c r="E103" s="39">
        <f>IFERROR(__xludf.DUMMYFUNCTION("IFERROR(IFERROR(INDEX(IMPORTRANGE(""1wF8uimz-gnzzmqfjHb8Ua7fudqcoq5SrFyToq2B2IO0"",""💰 Donations!A4:N200""),17,4)*1,0),0)"),0.0)</f>
        <v>0</v>
      </c>
      <c r="F103" s="21">
        <f t="shared" si="5"/>
        <v>0</v>
      </c>
      <c r="G103" s="89" t="str">
        <f t="shared" si="6"/>
        <v/>
      </c>
      <c r="H103" s="50" t="str">
        <f>IFERROR(__xludf.DUMMYFUNCTION("IFERROR(INDEX(IMPORTRANGE(""1wF8uimz-gnzzmqfjHb8Ua7fudqcoq5SrFyToq2B2IO0"",""💰 Donations!A4:N200""),17,6),"""")"),"")</f>
        <v/>
      </c>
      <c r="I103" s="82" t="str">
        <f>IFERROR(__xludf.DUMMYFUNCTION("IFERROR(IF(INDEX(IMPORTRANGE(""1wF8uimz-gnzzmqfjHb8Ua7fudqcoq5SrFyToq2B2IO0"",""💰 Donations!A4:N200""),17,7)="""","""",TEXT(INDEX(IMPORTRANGE(""1wF8uimz-gnzzmqfjHb8Ua7fudqcoq5SrFyToq2B2IO0"",""💰 Donations!A4:N200""),17,7),""DD-MM-YYYY"")),"""")"),"")</f>
        <v/>
      </c>
      <c r="J103" s="83" t="str">
        <f>IFERROR(__xludf.DUMMYFUNCTION("IFERROR(INDEX(IMPORTRANGE(""1wF8uimz-gnzzmqfjHb8Ua7fudqcoq5SrFyToq2B2IO0"",""💰 Donations!A4:N200""),17,8),"""")"),"")</f>
        <v/>
      </c>
      <c r="K103" s="90" t="str">
        <f>IFERROR(__xludf.DUMMYFUNCTION("IFERROR(INDEX(IMPORTRANGE(""1wF8uimz-gnzzmqfjHb8Ua7fudqcoq5SrFyToq2B2IO0"",""💰 Donations!A4:N200""),17,11),"""")"),"")</f>
        <v/>
      </c>
      <c r="L103" s="50" t="str">
        <f>IFERROR(__xludf.DUMMYFUNCTION("IFERROR(INDEX(IMPORTRANGE(""1wF8uimz-gnzzmqfjHb8Ua7fudqcoq5SrFyToq2B2IO0"",""💰 Donations!A4:N200""),17,13),"""")"),"")</f>
        <v/>
      </c>
      <c r="M103" s="83" t="str">
        <f>IFERROR(__xludf.DUMMYFUNCTION("IFERROR(INDEX(IMPORTRANGE(""1wF8uimz-gnzzmqfjHb8Ua7fudqcoq5SrFyToq2B2IO0"",""💰 Donations!A4:N200""),17,14),"""")"),"")</f>
        <v/>
      </c>
      <c r="N103" s="82" t="str">
        <f>IFERROR(__xludf.DUMMYFUNCTION("IFERROR(IF(INDEX(IMPORTRANGE(""1wF8uimz-gnzzmqfjHb8Ua7fudqcoq5SrFyToq2B2IO0"",""💰 Donations!A4:N200""),17,10)="""","""",TEXT(INDEX(IMPORTRANGE(""1wF8uimz-gnzzmqfjHb8Ua7fudqcoq5SrFyToq2B2IO0"",""💰 Donations!A4:N200""),17,10),""DD-MM-YYYY"")),"""")"),"")</f>
        <v/>
      </c>
    </row>
    <row r="104" ht="18.0" customHeight="1">
      <c r="A104" s="22" t="str">
        <f>IFERROR(__xludf.DUMMYFUNCTION("IFERROR(INDEX(IMPORTRANGE(""1wF8uimz-gnzzmqfjHb8Ua7fudqcoq5SrFyToq2B2IO0"",""💰 Donations!A4:N200""),18,1),"""")"),"")</f>
        <v/>
      </c>
      <c r="B104" s="91" t="str">
        <f>IFERROR(__xludf.DUMMYFUNCTION("IFERROR(INDEX(IMPORTRANGE(""1wF8uimz-gnzzmqfjHb8Ua7fudqcoq5SrFyToq2B2IO0"",""💰 Donations!A4:N200""),18,2),"""")"),"")</f>
        <v/>
      </c>
      <c r="C104" s="3"/>
      <c r="D104" s="23">
        <f>IFERROR(__xludf.DUMMYFUNCTION("IFERROR(IFERROR(INDEX(IMPORTRANGE(""1wF8uimz-gnzzmqfjHb8Ua7fudqcoq5SrFyToq2B2IO0"",""💰 Donations!A4:N200""),18,3)*1,0),0)"),0.0)</f>
        <v>0</v>
      </c>
      <c r="E104" s="40">
        <f>IFERROR(__xludf.DUMMYFUNCTION("IFERROR(IFERROR(INDEX(IMPORTRANGE(""1wF8uimz-gnzzmqfjHb8Ua7fudqcoq5SrFyToq2B2IO0"",""💰 Donations!A4:N200""),18,4)*1,0),0)"),0.0)</f>
        <v>0</v>
      </c>
      <c r="F104" s="24">
        <f t="shared" si="5"/>
        <v>0</v>
      </c>
      <c r="G104" s="92" t="str">
        <f t="shared" si="6"/>
        <v/>
      </c>
      <c r="H104" s="54" t="str">
        <f>IFERROR(__xludf.DUMMYFUNCTION("IFERROR(INDEX(IMPORTRANGE(""1wF8uimz-gnzzmqfjHb8Ua7fudqcoq5SrFyToq2B2IO0"",""💰 Donations!A4:N200""),18,6),"""")"),"")</f>
        <v/>
      </c>
      <c r="I104" s="85" t="str">
        <f>IFERROR(__xludf.DUMMYFUNCTION("IFERROR(IF(INDEX(IMPORTRANGE(""1wF8uimz-gnzzmqfjHb8Ua7fudqcoq5SrFyToq2B2IO0"",""💰 Donations!A4:N200""),18,7)="""","""",TEXT(INDEX(IMPORTRANGE(""1wF8uimz-gnzzmqfjHb8Ua7fudqcoq5SrFyToq2B2IO0"",""💰 Donations!A4:N200""),18,7),""DD-MM-YYYY"")),"""")"),"")</f>
        <v/>
      </c>
      <c r="J104" s="86" t="str">
        <f>IFERROR(__xludf.DUMMYFUNCTION("IFERROR(INDEX(IMPORTRANGE(""1wF8uimz-gnzzmqfjHb8Ua7fudqcoq5SrFyToq2B2IO0"",""💰 Donations!A4:N200""),18,8),"""")"),"")</f>
        <v/>
      </c>
      <c r="K104" s="93" t="str">
        <f>IFERROR(__xludf.DUMMYFUNCTION("IFERROR(INDEX(IMPORTRANGE(""1wF8uimz-gnzzmqfjHb8Ua7fudqcoq5SrFyToq2B2IO0"",""💰 Donations!A4:N200""),18,11),"""")"),"")</f>
        <v/>
      </c>
      <c r="L104" s="54" t="str">
        <f>IFERROR(__xludf.DUMMYFUNCTION("IFERROR(INDEX(IMPORTRANGE(""1wF8uimz-gnzzmqfjHb8Ua7fudqcoq5SrFyToq2B2IO0"",""💰 Donations!A4:N200""),18,13),"""")"),"")</f>
        <v/>
      </c>
      <c r="M104" s="86" t="str">
        <f>IFERROR(__xludf.DUMMYFUNCTION("IFERROR(INDEX(IMPORTRANGE(""1wF8uimz-gnzzmqfjHb8Ua7fudqcoq5SrFyToq2B2IO0"",""💰 Donations!A4:N200""),18,14),"""")"),"")</f>
        <v/>
      </c>
      <c r="N104" s="85" t="str">
        <f>IFERROR(__xludf.DUMMYFUNCTION("IFERROR(IF(INDEX(IMPORTRANGE(""1wF8uimz-gnzzmqfjHb8Ua7fudqcoq5SrFyToq2B2IO0"",""💰 Donations!A4:N200""),18,10)="""","""",TEXT(INDEX(IMPORTRANGE(""1wF8uimz-gnzzmqfjHb8Ua7fudqcoq5SrFyToq2B2IO0"",""💰 Donations!A4:N200""),18,10),""DD-MM-YYYY"")),"""")"),"")</f>
        <v/>
      </c>
    </row>
    <row r="105" ht="18.0" customHeight="1">
      <c r="A105" s="19" t="str">
        <f>IFERROR(__xludf.DUMMYFUNCTION("IFERROR(INDEX(IMPORTRANGE(""1wF8uimz-gnzzmqfjHb8Ua7fudqcoq5SrFyToq2B2IO0"",""💰 Donations!A4:N200""),19,1),"""")"),"")</f>
        <v/>
      </c>
      <c r="B105" s="88" t="str">
        <f>IFERROR(__xludf.DUMMYFUNCTION("IFERROR(INDEX(IMPORTRANGE(""1wF8uimz-gnzzmqfjHb8Ua7fudqcoq5SrFyToq2B2IO0"",""💰 Donations!A4:N200""),19,2),"""")"),"")</f>
        <v/>
      </c>
      <c r="C105" s="3"/>
      <c r="D105" s="20">
        <f>IFERROR(__xludf.DUMMYFUNCTION("IFERROR(IFERROR(INDEX(IMPORTRANGE(""1wF8uimz-gnzzmqfjHb8Ua7fudqcoq5SrFyToq2B2IO0"",""💰 Donations!A4:N200""),19,3)*1,0),0)"),0.0)</f>
        <v>0</v>
      </c>
      <c r="E105" s="39">
        <f>IFERROR(__xludf.DUMMYFUNCTION("IFERROR(IFERROR(INDEX(IMPORTRANGE(""1wF8uimz-gnzzmqfjHb8Ua7fudqcoq5SrFyToq2B2IO0"",""💰 Donations!A4:N200""),19,4)*1,0),0)"),0.0)</f>
        <v>0</v>
      </c>
      <c r="F105" s="21">
        <f t="shared" si="5"/>
        <v>0</v>
      </c>
      <c r="G105" s="89" t="str">
        <f t="shared" si="6"/>
        <v/>
      </c>
      <c r="H105" s="50" t="str">
        <f>IFERROR(__xludf.DUMMYFUNCTION("IFERROR(INDEX(IMPORTRANGE(""1wF8uimz-gnzzmqfjHb8Ua7fudqcoq5SrFyToq2B2IO0"",""💰 Donations!A4:N200""),19,6),"""")"),"")</f>
        <v/>
      </c>
      <c r="I105" s="82" t="str">
        <f>IFERROR(__xludf.DUMMYFUNCTION("IFERROR(IF(INDEX(IMPORTRANGE(""1wF8uimz-gnzzmqfjHb8Ua7fudqcoq5SrFyToq2B2IO0"",""💰 Donations!A4:N200""),19,7)="""","""",TEXT(INDEX(IMPORTRANGE(""1wF8uimz-gnzzmqfjHb8Ua7fudqcoq5SrFyToq2B2IO0"",""💰 Donations!A4:N200""),19,7),""DD-MM-YYYY"")),"""")"),"")</f>
        <v/>
      </c>
      <c r="J105" s="83" t="str">
        <f>IFERROR(__xludf.DUMMYFUNCTION("IFERROR(INDEX(IMPORTRANGE(""1wF8uimz-gnzzmqfjHb8Ua7fudqcoq5SrFyToq2B2IO0"",""💰 Donations!A4:N200""),19,8),"""")"),"")</f>
        <v/>
      </c>
      <c r="K105" s="90" t="str">
        <f>IFERROR(__xludf.DUMMYFUNCTION("IFERROR(INDEX(IMPORTRANGE(""1wF8uimz-gnzzmqfjHb8Ua7fudqcoq5SrFyToq2B2IO0"",""💰 Donations!A4:N200""),19,11),"""")"),"")</f>
        <v/>
      </c>
      <c r="L105" s="50" t="str">
        <f>IFERROR(__xludf.DUMMYFUNCTION("IFERROR(INDEX(IMPORTRANGE(""1wF8uimz-gnzzmqfjHb8Ua7fudqcoq5SrFyToq2B2IO0"",""💰 Donations!A4:N200""),19,13),"""")"),"")</f>
        <v/>
      </c>
      <c r="M105" s="83" t="str">
        <f>IFERROR(__xludf.DUMMYFUNCTION("IFERROR(INDEX(IMPORTRANGE(""1wF8uimz-gnzzmqfjHb8Ua7fudqcoq5SrFyToq2B2IO0"",""💰 Donations!A4:N200""),19,14),"""")"),"")</f>
        <v/>
      </c>
      <c r="N105" s="82" t="str">
        <f>IFERROR(__xludf.DUMMYFUNCTION("IFERROR(IF(INDEX(IMPORTRANGE(""1wF8uimz-gnzzmqfjHb8Ua7fudqcoq5SrFyToq2B2IO0"",""💰 Donations!A4:N200""),19,10)="""","""",TEXT(INDEX(IMPORTRANGE(""1wF8uimz-gnzzmqfjHb8Ua7fudqcoq5SrFyToq2B2IO0"",""💰 Donations!A4:N200""),19,10),""DD-MM-YYYY"")),"""")"),"")</f>
        <v/>
      </c>
    </row>
    <row r="106" ht="18.0" customHeight="1">
      <c r="A106" s="22" t="str">
        <f>IFERROR(__xludf.DUMMYFUNCTION("IFERROR(INDEX(IMPORTRANGE(""1wF8uimz-gnzzmqfjHb8Ua7fudqcoq5SrFyToq2B2IO0"",""💰 Donations!A4:N200""),20,1),"""")"),"")</f>
        <v/>
      </c>
      <c r="B106" s="91" t="str">
        <f>IFERROR(__xludf.DUMMYFUNCTION("IFERROR(INDEX(IMPORTRANGE(""1wF8uimz-gnzzmqfjHb8Ua7fudqcoq5SrFyToq2B2IO0"",""💰 Donations!A4:N200""),20,2),"""")"),"")</f>
        <v/>
      </c>
      <c r="C106" s="3"/>
      <c r="D106" s="23">
        <f>IFERROR(__xludf.DUMMYFUNCTION("IFERROR(IFERROR(INDEX(IMPORTRANGE(""1wF8uimz-gnzzmqfjHb8Ua7fudqcoq5SrFyToq2B2IO0"",""💰 Donations!A4:N200""),20,3)*1,0),0)"),0.0)</f>
        <v>0</v>
      </c>
      <c r="E106" s="40">
        <f>IFERROR(__xludf.DUMMYFUNCTION("IFERROR(IFERROR(INDEX(IMPORTRANGE(""1wF8uimz-gnzzmqfjHb8Ua7fudqcoq5SrFyToq2B2IO0"",""💰 Donations!A4:N200""),20,4)*1,0),0)"),0.0)</f>
        <v>0</v>
      </c>
      <c r="F106" s="24">
        <f t="shared" si="5"/>
        <v>0</v>
      </c>
      <c r="G106" s="92" t="str">
        <f t="shared" si="6"/>
        <v/>
      </c>
      <c r="H106" s="54" t="str">
        <f>IFERROR(__xludf.DUMMYFUNCTION("IFERROR(INDEX(IMPORTRANGE(""1wF8uimz-gnzzmqfjHb8Ua7fudqcoq5SrFyToq2B2IO0"",""💰 Donations!A4:N200""),20,6),"""")"),"")</f>
        <v/>
      </c>
      <c r="I106" s="85" t="str">
        <f>IFERROR(__xludf.DUMMYFUNCTION("IFERROR(IF(INDEX(IMPORTRANGE(""1wF8uimz-gnzzmqfjHb8Ua7fudqcoq5SrFyToq2B2IO0"",""💰 Donations!A4:N200""),20,7)="""","""",TEXT(INDEX(IMPORTRANGE(""1wF8uimz-gnzzmqfjHb8Ua7fudqcoq5SrFyToq2B2IO0"",""💰 Donations!A4:N200""),20,7),""DD-MM-YYYY"")),"""")"),"")</f>
        <v/>
      </c>
      <c r="J106" s="86" t="str">
        <f>IFERROR(__xludf.DUMMYFUNCTION("IFERROR(INDEX(IMPORTRANGE(""1wF8uimz-gnzzmqfjHb8Ua7fudqcoq5SrFyToq2B2IO0"",""💰 Donations!A4:N200""),20,8),"""")"),"")</f>
        <v/>
      </c>
      <c r="K106" s="93" t="str">
        <f>IFERROR(__xludf.DUMMYFUNCTION("IFERROR(INDEX(IMPORTRANGE(""1wF8uimz-gnzzmqfjHb8Ua7fudqcoq5SrFyToq2B2IO0"",""💰 Donations!A4:N200""),20,11),"""")"),"")</f>
        <v/>
      </c>
      <c r="L106" s="54" t="str">
        <f>IFERROR(__xludf.DUMMYFUNCTION("IFERROR(INDEX(IMPORTRANGE(""1wF8uimz-gnzzmqfjHb8Ua7fudqcoq5SrFyToq2B2IO0"",""💰 Donations!A4:N200""),20,13),"""")"),"")</f>
        <v/>
      </c>
      <c r="M106" s="86" t="str">
        <f>IFERROR(__xludf.DUMMYFUNCTION("IFERROR(INDEX(IMPORTRANGE(""1wF8uimz-gnzzmqfjHb8Ua7fudqcoq5SrFyToq2B2IO0"",""💰 Donations!A4:N200""),20,14),"""")"),"")</f>
        <v/>
      </c>
      <c r="N106" s="85" t="str">
        <f>IFERROR(__xludf.DUMMYFUNCTION("IFERROR(IF(INDEX(IMPORTRANGE(""1wF8uimz-gnzzmqfjHb8Ua7fudqcoq5SrFyToq2B2IO0"",""💰 Donations!A4:N200""),20,10)="""","""",TEXT(INDEX(IMPORTRANGE(""1wF8uimz-gnzzmqfjHb8Ua7fudqcoq5SrFyToq2B2IO0"",""💰 Donations!A4:N200""),20,10),""DD-MM-YYYY"")),"""")"),"")</f>
        <v/>
      </c>
    </row>
    <row r="107" ht="18.0" customHeight="1">
      <c r="A107" s="19" t="str">
        <f>IFERROR(__xludf.DUMMYFUNCTION("IFERROR(INDEX(IMPORTRANGE(""1wF8uimz-gnzzmqfjHb8Ua7fudqcoq5SrFyToq2B2IO0"",""💰 Donations!A4:N200""),21,1),"""")"),"")</f>
        <v/>
      </c>
      <c r="B107" s="88" t="str">
        <f>IFERROR(__xludf.DUMMYFUNCTION("IFERROR(INDEX(IMPORTRANGE(""1wF8uimz-gnzzmqfjHb8Ua7fudqcoq5SrFyToq2B2IO0"",""💰 Donations!A4:N200""),21,2),"""")"),"")</f>
        <v/>
      </c>
      <c r="C107" s="3"/>
      <c r="D107" s="20">
        <f>IFERROR(__xludf.DUMMYFUNCTION("IFERROR(IFERROR(INDEX(IMPORTRANGE(""1wF8uimz-gnzzmqfjHb8Ua7fudqcoq5SrFyToq2B2IO0"",""💰 Donations!A4:N200""),21,3)*1,0),0)"),0.0)</f>
        <v>0</v>
      </c>
      <c r="E107" s="39">
        <f>IFERROR(__xludf.DUMMYFUNCTION("IFERROR(IFERROR(INDEX(IMPORTRANGE(""1wF8uimz-gnzzmqfjHb8Ua7fudqcoq5SrFyToq2B2IO0"",""💰 Donations!A4:N200""),21,4)*1,0),0)"),0.0)</f>
        <v>0</v>
      </c>
      <c r="F107" s="21">
        <f t="shared" si="5"/>
        <v>0</v>
      </c>
      <c r="G107" s="89" t="str">
        <f t="shared" si="6"/>
        <v/>
      </c>
      <c r="H107" s="50" t="str">
        <f>IFERROR(__xludf.DUMMYFUNCTION("IFERROR(INDEX(IMPORTRANGE(""1wF8uimz-gnzzmqfjHb8Ua7fudqcoq5SrFyToq2B2IO0"",""💰 Donations!A4:N200""),21,6),"""")"),"")</f>
        <v/>
      </c>
      <c r="I107" s="82" t="str">
        <f>IFERROR(__xludf.DUMMYFUNCTION("IFERROR(IF(INDEX(IMPORTRANGE(""1wF8uimz-gnzzmqfjHb8Ua7fudqcoq5SrFyToq2B2IO0"",""💰 Donations!A4:N200""),21,7)="""","""",TEXT(INDEX(IMPORTRANGE(""1wF8uimz-gnzzmqfjHb8Ua7fudqcoq5SrFyToq2B2IO0"",""💰 Donations!A4:N200""),21,7),""DD-MM-YYYY"")),"""")"),"")</f>
        <v/>
      </c>
      <c r="J107" s="83" t="str">
        <f>IFERROR(__xludf.DUMMYFUNCTION("IFERROR(INDEX(IMPORTRANGE(""1wF8uimz-gnzzmqfjHb8Ua7fudqcoq5SrFyToq2B2IO0"",""💰 Donations!A4:N200""),21,8),"""")"),"")</f>
        <v/>
      </c>
      <c r="K107" s="90" t="str">
        <f>IFERROR(__xludf.DUMMYFUNCTION("IFERROR(INDEX(IMPORTRANGE(""1wF8uimz-gnzzmqfjHb8Ua7fudqcoq5SrFyToq2B2IO0"",""💰 Donations!A4:N200""),21,11),"""")"),"")</f>
        <v/>
      </c>
      <c r="L107" s="50" t="str">
        <f>IFERROR(__xludf.DUMMYFUNCTION("IFERROR(INDEX(IMPORTRANGE(""1wF8uimz-gnzzmqfjHb8Ua7fudqcoq5SrFyToq2B2IO0"",""💰 Donations!A4:N200""),21,13),"""")"),"")</f>
        <v/>
      </c>
      <c r="M107" s="83" t="str">
        <f>IFERROR(__xludf.DUMMYFUNCTION("IFERROR(INDEX(IMPORTRANGE(""1wF8uimz-gnzzmqfjHb8Ua7fudqcoq5SrFyToq2B2IO0"",""💰 Donations!A4:N200""),21,14),"""")"),"")</f>
        <v/>
      </c>
      <c r="N107" s="82" t="str">
        <f>IFERROR(__xludf.DUMMYFUNCTION("IFERROR(IF(INDEX(IMPORTRANGE(""1wF8uimz-gnzzmqfjHb8Ua7fudqcoq5SrFyToq2B2IO0"",""💰 Donations!A4:N200""),21,10)="""","""",TEXT(INDEX(IMPORTRANGE(""1wF8uimz-gnzzmqfjHb8Ua7fudqcoq5SrFyToq2B2IO0"",""💰 Donations!A4:N200""),21,10),""DD-MM-YYYY"")),"""")"),"")</f>
        <v/>
      </c>
    </row>
    <row r="108" ht="18.0" customHeight="1">
      <c r="A108" s="22" t="str">
        <f>IFERROR(__xludf.DUMMYFUNCTION("IFERROR(INDEX(IMPORTRANGE(""1wF8uimz-gnzzmqfjHb8Ua7fudqcoq5SrFyToq2B2IO0"",""💰 Donations!A4:N200""),22,1),"""")"),"")</f>
        <v/>
      </c>
      <c r="B108" s="91" t="str">
        <f>IFERROR(__xludf.DUMMYFUNCTION("IFERROR(INDEX(IMPORTRANGE(""1wF8uimz-gnzzmqfjHb8Ua7fudqcoq5SrFyToq2B2IO0"",""💰 Donations!A4:N200""),22,2),"""")"),"")</f>
        <v/>
      </c>
      <c r="C108" s="3"/>
      <c r="D108" s="23">
        <f>IFERROR(__xludf.DUMMYFUNCTION("IFERROR(IFERROR(INDEX(IMPORTRANGE(""1wF8uimz-gnzzmqfjHb8Ua7fudqcoq5SrFyToq2B2IO0"",""💰 Donations!A4:N200""),22,3)*1,0),0)"),0.0)</f>
        <v>0</v>
      </c>
      <c r="E108" s="40">
        <f>IFERROR(__xludf.DUMMYFUNCTION("IFERROR(IFERROR(INDEX(IMPORTRANGE(""1wF8uimz-gnzzmqfjHb8Ua7fudqcoq5SrFyToq2B2IO0"",""💰 Donations!A4:N200""),22,4)*1,0),0)"),0.0)</f>
        <v>0</v>
      </c>
      <c r="F108" s="24">
        <f t="shared" si="5"/>
        <v>0</v>
      </c>
      <c r="G108" s="92" t="str">
        <f t="shared" si="6"/>
        <v/>
      </c>
      <c r="H108" s="54" t="str">
        <f>IFERROR(__xludf.DUMMYFUNCTION("IFERROR(INDEX(IMPORTRANGE(""1wF8uimz-gnzzmqfjHb8Ua7fudqcoq5SrFyToq2B2IO0"",""💰 Donations!A4:N200""),22,6),"""")"),"")</f>
        <v/>
      </c>
      <c r="I108" s="85" t="str">
        <f>IFERROR(__xludf.DUMMYFUNCTION("IFERROR(IF(INDEX(IMPORTRANGE(""1wF8uimz-gnzzmqfjHb8Ua7fudqcoq5SrFyToq2B2IO0"",""💰 Donations!A4:N200""),22,7)="""","""",TEXT(INDEX(IMPORTRANGE(""1wF8uimz-gnzzmqfjHb8Ua7fudqcoq5SrFyToq2B2IO0"",""💰 Donations!A4:N200""),22,7),""DD-MM-YYYY"")),"""")"),"")</f>
        <v/>
      </c>
      <c r="J108" s="86" t="str">
        <f>IFERROR(__xludf.DUMMYFUNCTION("IFERROR(INDEX(IMPORTRANGE(""1wF8uimz-gnzzmqfjHb8Ua7fudqcoq5SrFyToq2B2IO0"",""💰 Donations!A4:N200""),22,8),"""")"),"")</f>
        <v/>
      </c>
      <c r="K108" s="93" t="str">
        <f>IFERROR(__xludf.DUMMYFUNCTION("IFERROR(INDEX(IMPORTRANGE(""1wF8uimz-gnzzmqfjHb8Ua7fudqcoq5SrFyToq2B2IO0"",""💰 Donations!A4:N200""),22,11),"""")"),"")</f>
        <v/>
      </c>
      <c r="L108" s="54" t="str">
        <f>IFERROR(__xludf.DUMMYFUNCTION("IFERROR(INDEX(IMPORTRANGE(""1wF8uimz-gnzzmqfjHb8Ua7fudqcoq5SrFyToq2B2IO0"",""💰 Donations!A4:N200""),22,13),"""")"),"")</f>
        <v/>
      </c>
      <c r="M108" s="86" t="str">
        <f>IFERROR(__xludf.DUMMYFUNCTION("IFERROR(INDEX(IMPORTRANGE(""1wF8uimz-gnzzmqfjHb8Ua7fudqcoq5SrFyToq2B2IO0"",""💰 Donations!A4:N200""),22,14),"""")"),"")</f>
        <v/>
      </c>
      <c r="N108" s="85" t="str">
        <f>IFERROR(__xludf.DUMMYFUNCTION("IFERROR(IF(INDEX(IMPORTRANGE(""1wF8uimz-gnzzmqfjHb8Ua7fudqcoq5SrFyToq2B2IO0"",""💰 Donations!A4:N200""),22,10)="""","""",TEXT(INDEX(IMPORTRANGE(""1wF8uimz-gnzzmqfjHb8Ua7fudqcoq5SrFyToq2B2IO0"",""💰 Donations!A4:N200""),22,10),""DD-MM-YYYY"")),"""")"),"")</f>
        <v/>
      </c>
    </row>
    <row r="109" ht="18.0" customHeight="1">
      <c r="A109" s="19" t="str">
        <f>IFERROR(__xludf.DUMMYFUNCTION("IFERROR(INDEX(IMPORTRANGE(""1wF8uimz-gnzzmqfjHb8Ua7fudqcoq5SrFyToq2B2IO0"",""💰 Donations!A4:N200""),23,1),"""")"),"")</f>
        <v/>
      </c>
      <c r="B109" s="88" t="str">
        <f>IFERROR(__xludf.DUMMYFUNCTION("IFERROR(INDEX(IMPORTRANGE(""1wF8uimz-gnzzmqfjHb8Ua7fudqcoq5SrFyToq2B2IO0"",""💰 Donations!A4:N200""),23,2),"""")"),"")</f>
        <v/>
      </c>
      <c r="C109" s="3"/>
      <c r="D109" s="20">
        <f>IFERROR(__xludf.DUMMYFUNCTION("IFERROR(IFERROR(INDEX(IMPORTRANGE(""1wF8uimz-gnzzmqfjHb8Ua7fudqcoq5SrFyToq2B2IO0"",""💰 Donations!A4:N200""),23,3)*1,0),0)"),0.0)</f>
        <v>0</v>
      </c>
      <c r="E109" s="39">
        <f>IFERROR(__xludf.DUMMYFUNCTION("IFERROR(IFERROR(INDEX(IMPORTRANGE(""1wF8uimz-gnzzmqfjHb8Ua7fudqcoq5SrFyToq2B2IO0"",""💰 Donations!A4:N200""),23,4)*1,0),0)"),0.0)</f>
        <v>0</v>
      </c>
      <c r="F109" s="21">
        <f t="shared" si="5"/>
        <v>0</v>
      </c>
      <c r="G109" s="89" t="str">
        <f t="shared" si="6"/>
        <v/>
      </c>
      <c r="H109" s="50" t="str">
        <f>IFERROR(__xludf.DUMMYFUNCTION("IFERROR(INDEX(IMPORTRANGE(""1wF8uimz-gnzzmqfjHb8Ua7fudqcoq5SrFyToq2B2IO0"",""💰 Donations!A4:N200""),23,6),"""")"),"")</f>
        <v/>
      </c>
      <c r="I109" s="82" t="str">
        <f>IFERROR(__xludf.DUMMYFUNCTION("IFERROR(IF(INDEX(IMPORTRANGE(""1wF8uimz-gnzzmqfjHb8Ua7fudqcoq5SrFyToq2B2IO0"",""💰 Donations!A4:N200""),23,7)="""","""",TEXT(INDEX(IMPORTRANGE(""1wF8uimz-gnzzmqfjHb8Ua7fudqcoq5SrFyToq2B2IO0"",""💰 Donations!A4:N200""),23,7),""DD-MM-YYYY"")),"""")"),"")</f>
        <v/>
      </c>
      <c r="J109" s="83" t="str">
        <f>IFERROR(__xludf.DUMMYFUNCTION("IFERROR(INDEX(IMPORTRANGE(""1wF8uimz-gnzzmqfjHb8Ua7fudqcoq5SrFyToq2B2IO0"",""💰 Donations!A4:N200""),23,8),"""")"),"")</f>
        <v/>
      </c>
      <c r="K109" s="90" t="str">
        <f>IFERROR(__xludf.DUMMYFUNCTION("IFERROR(INDEX(IMPORTRANGE(""1wF8uimz-gnzzmqfjHb8Ua7fudqcoq5SrFyToq2B2IO0"",""💰 Donations!A4:N200""),23,11),"""")"),"")</f>
        <v/>
      </c>
      <c r="L109" s="50" t="str">
        <f>IFERROR(__xludf.DUMMYFUNCTION("IFERROR(INDEX(IMPORTRANGE(""1wF8uimz-gnzzmqfjHb8Ua7fudqcoq5SrFyToq2B2IO0"",""💰 Donations!A4:N200""),23,13),"""")"),"")</f>
        <v/>
      </c>
      <c r="M109" s="83" t="str">
        <f>IFERROR(__xludf.DUMMYFUNCTION("IFERROR(INDEX(IMPORTRANGE(""1wF8uimz-gnzzmqfjHb8Ua7fudqcoq5SrFyToq2B2IO0"",""💰 Donations!A4:N200""),23,14),"""")"),"")</f>
        <v/>
      </c>
      <c r="N109" s="82" t="str">
        <f>IFERROR(__xludf.DUMMYFUNCTION("IFERROR(IF(INDEX(IMPORTRANGE(""1wF8uimz-gnzzmqfjHb8Ua7fudqcoq5SrFyToq2B2IO0"",""💰 Donations!A4:N200""),23,10)="""","""",TEXT(INDEX(IMPORTRANGE(""1wF8uimz-gnzzmqfjHb8Ua7fudqcoq5SrFyToq2B2IO0"",""💰 Donations!A4:N200""),23,10),""DD-MM-YYYY"")),"""")"),"")</f>
        <v/>
      </c>
    </row>
    <row r="110" ht="18.0" customHeight="1">
      <c r="A110" s="22" t="str">
        <f>IFERROR(__xludf.DUMMYFUNCTION("IFERROR(INDEX(IMPORTRANGE(""1wF8uimz-gnzzmqfjHb8Ua7fudqcoq5SrFyToq2B2IO0"",""💰 Donations!A4:N200""),24,1),"""")"),"")</f>
        <v/>
      </c>
      <c r="B110" s="91" t="str">
        <f>IFERROR(__xludf.DUMMYFUNCTION("IFERROR(INDEX(IMPORTRANGE(""1wF8uimz-gnzzmqfjHb8Ua7fudqcoq5SrFyToq2B2IO0"",""💰 Donations!A4:N200""),24,2),"""")"),"")</f>
        <v/>
      </c>
      <c r="C110" s="3"/>
      <c r="D110" s="23">
        <f>IFERROR(__xludf.DUMMYFUNCTION("IFERROR(IFERROR(INDEX(IMPORTRANGE(""1wF8uimz-gnzzmqfjHb8Ua7fudqcoq5SrFyToq2B2IO0"",""💰 Donations!A4:N200""),24,3)*1,0),0)"),0.0)</f>
        <v>0</v>
      </c>
      <c r="E110" s="40">
        <f>IFERROR(__xludf.DUMMYFUNCTION("IFERROR(IFERROR(INDEX(IMPORTRANGE(""1wF8uimz-gnzzmqfjHb8Ua7fudqcoq5SrFyToq2B2IO0"",""💰 Donations!A4:N200""),24,4)*1,0),0)"),0.0)</f>
        <v>0</v>
      </c>
      <c r="F110" s="24">
        <f t="shared" si="5"/>
        <v>0</v>
      </c>
      <c r="G110" s="92" t="str">
        <f t="shared" si="6"/>
        <v/>
      </c>
      <c r="H110" s="54" t="str">
        <f>IFERROR(__xludf.DUMMYFUNCTION("IFERROR(INDEX(IMPORTRANGE(""1wF8uimz-gnzzmqfjHb8Ua7fudqcoq5SrFyToq2B2IO0"",""💰 Donations!A4:N200""),24,6),"""")"),"")</f>
        <v/>
      </c>
      <c r="I110" s="85" t="str">
        <f>IFERROR(__xludf.DUMMYFUNCTION("IFERROR(IF(INDEX(IMPORTRANGE(""1wF8uimz-gnzzmqfjHb8Ua7fudqcoq5SrFyToq2B2IO0"",""💰 Donations!A4:N200""),24,7)="""","""",TEXT(INDEX(IMPORTRANGE(""1wF8uimz-gnzzmqfjHb8Ua7fudqcoq5SrFyToq2B2IO0"",""💰 Donations!A4:N200""),24,7),""DD-MM-YYYY"")),"""")"),"")</f>
        <v/>
      </c>
      <c r="J110" s="86" t="str">
        <f>IFERROR(__xludf.DUMMYFUNCTION("IFERROR(INDEX(IMPORTRANGE(""1wF8uimz-gnzzmqfjHb8Ua7fudqcoq5SrFyToq2B2IO0"",""💰 Donations!A4:N200""),24,8),"""")"),"")</f>
        <v/>
      </c>
      <c r="K110" s="93" t="str">
        <f>IFERROR(__xludf.DUMMYFUNCTION("IFERROR(INDEX(IMPORTRANGE(""1wF8uimz-gnzzmqfjHb8Ua7fudqcoq5SrFyToq2B2IO0"",""💰 Donations!A4:N200""),24,11),"""")"),"")</f>
        <v/>
      </c>
      <c r="L110" s="54" t="str">
        <f>IFERROR(__xludf.DUMMYFUNCTION("IFERROR(INDEX(IMPORTRANGE(""1wF8uimz-gnzzmqfjHb8Ua7fudqcoq5SrFyToq2B2IO0"",""💰 Donations!A4:N200""),24,13),"""")"),"")</f>
        <v/>
      </c>
      <c r="M110" s="86" t="str">
        <f>IFERROR(__xludf.DUMMYFUNCTION("IFERROR(INDEX(IMPORTRANGE(""1wF8uimz-gnzzmqfjHb8Ua7fudqcoq5SrFyToq2B2IO0"",""💰 Donations!A4:N200""),24,14),"""")"),"")</f>
        <v/>
      </c>
      <c r="N110" s="85" t="str">
        <f>IFERROR(__xludf.DUMMYFUNCTION("IFERROR(IF(INDEX(IMPORTRANGE(""1wF8uimz-gnzzmqfjHb8Ua7fudqcoq5SrFyToq2B2IO0"",""💰 Donations!A4:N200""),24,10)="""","""",TEXT(INDEX(IMPORTRANGE(""1wF8uimz-gnzzmqfjHb8Ua7fudqcoq5SrFyToq2B2IO0"",""💰 Donations!A4:N200""),24,10),""DD-MM-YYYY"")),"""")"),"")</f>
        <v/>
      </c>
    </row>
    <row r="111" ht="18.0" customHeight="1">
      <c r="A111" s="19" t="str">
        <f>IFERROR(__xludf.DUMMYFUNCTION("IFERROR(INDEX(IMPORTRANGE(""1wF8uimz-gnzzmqfjHb8Ua7fudqcoq5SrFyToq2B2IO0"",""💰 Donations!A4:N200""),25,1),"""")"),"")</f>
        <v/>
      </c>
      <c r="B111" s="88" t="str">
        <f>IFERROR(__xludf.DUMMYFUNCTION("IFERROR(INDEX(IMPORTRANGE(""1wF8uimz-gnzzmqfjHb8Ua7fudqcoq5SrFyToq2B2IO0"",""💰 Donations!A4:N200""),25,2),"""")"),"")</f>
        <v/>
      </c>
      <c r="C111" s="3"/>
      <c r="D111" s="20">
        <f>IFERROR(__xludf.DUMMYFUNCTION("IFERROR(IFERROR(INDEX(IMPORTRANGE(""1wF8uimz-gnzzmqfjHb8Ua7fudqcoq5SrFyToq2B2IO0"",""💰 Donations!A4:N200""),25,3)*1,0),0)"),0.0)</f>
        <v>0</v>
      </c>
      <c r="E111" s="39">
        <f>IFERROR(__xludf.DUMMYFUNCTION("IFERROR(IFERROR(INDEX(IMPORTRANGE(""1wF8uimz-gnzzmqfjHb8Ua7fudqcoq5SrFyToq2B2IO0"",""💰 Donations!A4:N200""),25,4)*1,0),0)"),0.0)</f>
        <v>0</v>
      </c>
      <c r="F111" s="21">
        <f t="shared" si="5"/>
        <v>0</v>
      </c>
      <c r="G111" s="89" t="str">
        <f t="shared" si="6"/>
        <v/>
      </c>
      <c r="H111" s="50" t="str">
        <f>IFERROR(__xludf.DUMMYFUNCTION("IFERROR(INDEX(IMPORTRANGE(""1wF8uimz-gnzzmqfjHb8Ua7fudqcoq5SrFyToq2B2IO0"",""💰 Donations!A4:N200""),25,6),"""")"),"")</f>
        <v/>
      </c>
      <c r="I111" s="82" t="str">
        <f>IFERROR(__xludf.DUMMYFUNCTION("IFERROR(IF(INDEX(IMPORTRANGE(""1wF8uimz-gnzzmqfjHb8Ua7fudqcoq5SrFyToq2B2IO0"",""💰 Donations!A4:N200""),25,7)="""","""",TEXT(INDEX(IMPORTRANGE(""1wF8uimz-gnzzmqfjHb8Ua7fudqcoq5SrFyToq2B2IO0"",""💰 Donations!A4:N200""),25,7),""DD-MM-YYYY"")),"""")"),"")</f>
        <v/>
      </c>
      <c r="J111" s="83" t="str">
        <f>IFERROR(__xludf.DUMMYFUNCTION("IFERROR(INDEX(IMPORTRANGE(""1wF8uimz-gnzzmqfjHb8Ua7fudqcoq5SrFyToq2B2IO0"",""💰 Donations!A4:N200""),25,8),"""")"),"")</f>
        <v/>
      </c>
      <c r="K111" s="90" t="str">
        <f>IFERROR(__xludf.DUMMYFUNCTION("IFERROR(INDEX(IMPORTRANGE(""1wF8uimz-gnzzmqfjHb8Ua7fudqcoq5SrFyToq2B2IO0"",""💰 Donations!A4:N200""),25,11),"""")"),"")</f>
        <v/>
      </c>
      <c r="L111" s="50" t="str">
        <f>IFERROR(__xludf.DUMMYFUNCTION("IFERROR(INDEX(IMPORTRANGE(""1wF8uimz-gnzzmqfjHb8Ua7fudqcoq5SrFyToq2B2IO0"",""💰 Donations!A4:N200""),25,13),"""")"),"")</f>
        <v/>
      </c>
      <c r="M111" s="83" t="str">
        <f>IFERROR(__xludf.DUMMYFUNCTION("IFERROR(INDEX(IMPORTRANGE(""1wF8uimz-gnzzmqfjHb8Ua7fudqcoq5SrFyToq2B2IO0"",""💰 Donations!A4:N200""),25,14),"""")"),"")</f>
        <v/>
      </c>
      <c r="N111" s="82" t="str">
        <f>IFERROR(__xludf.DUMMYFUNCTION("IFERROR(IF(INDEX(IMPORTRANGE(""1wF8uimz-gnzzmqfjHb8Ua7fudqcoq5SrFyToq2B2IO0"",""💰 Donations!A4:N200""),25,10)="""","""",TEXT(INDEX(IMPORTRANGE(""1wF8uimz-gnzzmqfjHb8Ua7fudqcoq5SrFyToq2B2IO0"",""💰 Donations!A4:N200""),25,10),""DD-MM-YYYY"")),"""")"),"")</f>
        <v/>
      </c>
    </row>
    <row r="112" ht="18.0" customHeight="1">
      <c r="A112" s="22" t="str">
        <f>IFERROR(__xludf.DUMMYFUNCTION("IFERROR(INDEX(IMPORTRANGE(""1wF8uimz-gnzzmqfjHb8Ua7fudqcoq5SrFyToq2B2IO0"",""💰 Donations!A4:N200""),26,1),"""")"),"")</f>
        <v/>
      </c>
      <c r="B112" s="91" t="str">
        <f>IFERROR(__xludf.DUMMYFUNCTION("IFERROR(INDEX(IMPORTRANGE(""1wF8uimz-gnzzmqfjHb8Ua7fudqcoq5SrFyToq2B2IO0"",""💰 Donations!A4:N200""),26,2),"""")"),"")</f>
        <v/>
      </c>
      <c r="C112" s="3"/>
      <c r="D112" s="23">
        <f>IFERROR(__xludf.DUMMYFUNCTION("IFERROR(IFERROR(INDEX(IMPORTRANGE(""1wF8uimz-gnzzmqfjHb8Ua7fudqcoq5SrFyToq2B2IO0"",""💰 Donations!A4:N200""),26,3)*1,0),0)"),0.0)</f>
        <v>0</v>
      </c>
      <c r="E112" s="40">
        <f>IFERROR(__xludf.DUMMYFUNCTION("IFERROR(IFERROR(INDEX(IMPORTRANGE(""1wF8uimz-gnzzmqfjHb8Ua7fudqcoq5SrFyToq2B2IO0"",""💰 Donations!A4:N200""),26,4)*1,0),0)"),0.0)</f>
        <v>0</v>
      </c>
      <c r="F112" s="24">
        <f t="shared" si="5"/>
        <v>0</v>
      </c>
      <c r="G112" s="92" t="str">
        <f t="shared" si="6"/>
        <v/>
      </c>
      <c r="H112" s="54" t="str">
        <f>IFERROR(__xludf.DUMMYFUNCTION("IFERROR(INDEX(IMPORTRANGE(""1wF8uimz-gnzzmqfjHb8Ua7fudqcoq5SrFyToq2B2IO0"",""💰 Donations!A4:N200""),26,6),"""")"),"")</f>
        <v/>
      </c>
      <c r="I112" s="85" t="str">
        <f>IFERROR(__xludf.DUMMYFUNCTION("IFERROR(IF(INDEX(IMPORTRANGE(""1wF8uimz-gnzzmqfjHb8Ua7fudqcoq5SrFyToq2B2IO0"",""💰 Donations!A4:N200""),26,7)="""","""",TEXT(INDEX(IMPORTRANGE(""1wF8uimz-gnzzmqfjHb8Ua7fudqcoq5SrFyToq2B2IO0"",""💰 Donations!A4:N200""),26,7),""DD-MM-YYYY"")),"""")"),"")</f>
        <v/>
      </c>
      <c r="J112" s="86" t="str">
        <f>IFERROR(__xludf.DUMMYFUNCTION("IFERROR(INDEX(IMPORTRANGE(""1wF8uimz-gnzzmqfjHb8Ua7fudqcoq5SrFyToq2B2IO0"",""💰 Donations!A4:N200""),26,8),"""")"),"")</f>
        <v/>
      </c>
      <c r="K112" s="93" t="str">
        <f>IFERROR(__xludf.DUMMYFUNCTION("IFERROR(INDEX(IMPORTRANGE(""1wF8uimz-gnzzmqfjHb8Ua7fudqcoq5SrFyToq2B2IO0"",""💰 Donations!A4:N200""),26,11),"""")"),"")</f>
        <v/>
      </c>
      <c r="L112" s="54" t="str">
        <f>IFERROR(__xludf.DUMMYFUNCTION("IFERROR(INDEX(IMPORTRANGE(""1wF8uimz-gnzzmqfjHb8Ua7fudqcoq5SrFyToq2B2IO0"",""💰 Donations!A4:N200""),26,13),"""")"),"")</f>
        <v/>
      </c>
      <c r="M112" s="86" t="str">
        <f>IFERROR(__xludf.DUMMYFUNCTION("IFERROR(INDEX(IMPORTRANGE(""1wF8uimz-gnzzmqfjHb8Ua7fudqcoq5SrFyToq2B2IO0"",""💰 Donations!A4:N200""),26,14),"""")"),"")</f>
        <v/>
      </c>
      <c r="N112" s="85" t="str">
        <f>IFERROR(__xludf.DUMMYFUNCTION("IFERROR(IF(INDEX(IMPORTRANGE(""1wF8uimz-gnzzmqfjHb8Ua7fudqcoq5SrFyToq2B2IO0"",""💰 Donations!A4:N200""),26,10)="""","""",TEXT(INDEX(IMPORTRANGE(""1wF8uimz-gnzzmqfjHb8Ua7fudqcoq5SrFyToq2B2IO0"",""💰 Donations!A4:N200""),26,10),""DD-MM-YYYY"")),"""")"),"")</f>
        <v/>
      </c>
    </row>
    <row r="113" ht="18.0" customHeight="1">
      <c r="A113" s="19" t="str">
        <f>IFERROR(__xludf.DUMMYFUNCTION("IFERROR(INDEX(IMPORTRANGE(""1wF8uimz-gnzzmqfjHb8Ua7fudqcoq5SrFyToq2B2IO0"",""💰 Donations!A4:N200""),27,1),"""")"),"")</f>
        <v/>
      </c>
      <c r="B113" s="88" t="str">
        <f>IFERROR(__xludf.DUMMYFUNCTION("IFERROR(INDEX(IMPORTRANGE(""1wF8uimz-gnzzmqfjHb8Ua7fudqcoq5SrFyToq2B2IO0"",""💰 Donations!A4:N200""),27,2),"""")"),"")</f>
        <v/>
      </c>
      <c r="C113" s="3"/>
      <c r="D113" s="20">
        <f>IFERROR(__xludf.DUMMYFUNCTION("IFERROR(IFERROR(INDEX(IMPORTRANGE(""1wF8uimz-gnzzmqfjHb8Ua7fudqcoq5SrFyToq2B2IO0"",""💰 Donations!A4:N200""),27,3)*1,0),0)"),0.0)</f>
        <v>0</v>
      </c>
      <c r="E113" s="39">
        <f>IFERROR(__xludf.DUMMYFUNCTION("IFERROR(IFERROR(INDEX(IMPORTRANGE(""1wF8uimz-gnzzmqfjHb8Ua7fudqcoq5SrFyToq2B2IO0"",""💰 Donations!A4:N200""),27,4)*1,0),0)"),0.0)</f>
        <v>0</v>
      </c>
      <c r="F113" s="21">
        <f t="shared" si="5"/>
        <v>0</v>
      </c>
      <c r="G113" s="89" t="str">
        <f t="shared" si="6"/>
        <v/>
      </c>
      <c r="H113" s="50" t="str">
        <f>IFERROR(__xludf.DUMMYFUNCTION("IFERROR(INDEX(IMPORTRANGE(""1wF8uimz-gnzzmqfjHb8Ua7fudqcoq5SrFyToq2B2IO0"",""💰 Donations!A4:N200""),27,6),"""")"),"")</f>
        <v/>
      </c>
      <c r="I113" s="82" t="str">
        <f>IFERROR(__xludf.DUMMYFUNCTION("IFERROR(IF(INDEX(IMPORTRANGE(""1wF8uimz-gnzzmqfjHb8Ua7fudqcoq5SrFyToq2B2IO0"",""💰 Donations!A4:N200""),27,7)="""","""",TEXT(INDEX(IMPORTRANGE(""1wF8uimz-gnzzmqfjHb8Ua7fudqcoq5SrFyToq2B2IO0"",""💰 Donations!A4:N200""),27,7),""DD-MM-YYYY"")),"""")"),"")</f>
        <v/>
      </c>
      <c r="J113" s="83" t="str">
        <f>IFERROR(__xludf.DUMMYFUNCTION("IFERROR(INDEX(IMPORTRANGE(""1wF8uimz-gnzzmqfjHb8Ua7fudqcoq5SrFyToq2B2IO0"",""💰 Donations!A4:N200""),27,8),"""")"),"")</f>
        <v/>
      </c>
      <c r="K113" s="90" t="str">
        <f>IFERROR(__xludf.DUMMYFUNCTION("IFERROR(INDEX(IMPORTRANGE(""1wF8uimz-gnzzmqfjHb8Ua7fudqcoq5SrFyToq2B2IO0"",""💰 Donations!A4:N200""),27,11),"""")"),"")</f>
        <v/>
      </c>
      <c r="L113" s="50" t="str">
        <f>IFERROR(__xludf.DUMMYFUNCTION("IFERROR(INDEX(IMPORTRANGE(""1wF8uimz-gnzzmqfjHb8Ua7fudqcoq5SrFyToq2B2IO0"",""💰 Donations!A4:N200""),27,13),"""")"),"")</f>
        <v/>
      </c>
      <c r="M113" s="83" t="str">
        <f>IFERROR(__xludf.DUMMYFUNCTION("IFERROR(INDEX(IMPORTRANGE(""1wF8uimz-gnzzmqfjHb8Ua7fudqcoq5SrFyToq2B2IO0"",""💰 Donations!A4:N200""),27,14),"""")"),"")</f>
        <v/>
      </c>
      <c r="N113" s="82" t="str">
        <f>IFERROR(__xludf.DUMMYFUNCTION("IFERROR(IF(INDEX(IMPORTRANGE(""1wF8uimz-gnzzmqfjHb8Ua7fudqcoq5SrFyToq2B2IO0"",""💰 Donations!A4:N200""),27,10)="""","""",TEXT(INDEX(IMPORTRANGE(""1wF8uimz-gnzzmqfjHb8Ua7fudqcoq5SrFyToq2B2IO0"",""💰 Donations!A4:N200""),27,10),""DD-MM-YYYY"")),"""")"),"")</f>
        <v/>
      </c>
    </row>
    <row r="114" ht="18.0" customHeight="1">
      <c r="A114" s="22" t="str">
        <f>IFERROR(__xludf.DUMMYFUNCTION("IFERROR(INDEX(IMPORTRANGE(""1wF8uimz-gnzzmqfjHb8Ua7fudqcoq5SrFyToq2B2IO0"",""💰 Donations!A4:N200""),28,1),"""")"),"")</f>
        <v/>
      </c>
      <c r="B114" s="91" t="str">
        <f>IFERROR(__xludf.DUMMYFUNCTION("IFERROR(INDEX(IMPORTRANGE(""1wF8uimz-gnzzmqfjHb8Ua7fudqcoq5SrFyToq2B2IO0"",""💰 Donations!A4:N200""),28,2),"""")"),"")</f>
        <v/>
      </c>
      <c r="C114" s="3"/>
      <c r="D114" s="23">
        <f>IFERROR(__xludf.DUMMYFUNCTION("IFERROR(IFERROR(INDEX(IMPORTRANGE(""1wF8uimz-gnzzmqfjHb8Ua7fudqcoq5SrFyToq2B2IO0"",""💰 Donations!A4:N200""),28,3)*1,0),0)"),0.0)</f>
        <v>0</v>
      </c>
      <c r="E114" s="40">
        <f>IFERROR(__xludf.DUMMYFUNCTION("IFERROR(IFERROR(INDEX(IMPORTRANGE(""1wF8uimz-gnzzmqfjHb8Ua7fudqcoq5SrFyToq2B2IO0"",""💰 Donations!A4:N200""),28,4)*1,0),0)"),0.0)</f>
        <v>0</v>
      </c>
      <c r="F114" s="24">
        <f t="shared" si="5"/>
        <v>0</v>
      </c>
      <c r="G114" s="92" t="str">
        <f t="shared" si="6"/>
        <v/>
      </c>
      <c r="H114" s="54" t="str">
        <f>IFERROR(__xludf.DUMMYFUNCTION("IFERROR(INDEX(IMPORTRANGE(""1wF8uimz-gnzzmqfjHb8Ua7fudqcoq5SrFyToq2B2IO0"",""💰 Donations!A4:N200""),28,6),"""")"),"")</f>
        <v/>
      </c>
      <c r="I114" s="85" t="str">
        <f>IFERROR(__xludf.DUMMYFUNCTION("IFERROR(IF(INDEX(IMPORTRANGE(""1wF8uimz-gnzzmqfjHb8Ua7fudqcoq5SrFyToq2B2IO0"",""💰 Donations!A4:N200""),28,7)="""","""",TEXT(INDEX(IMPORTRANGE(""1wF8uimz-gnzzmqfjHb8Ua7fudqcoq5SrFyToq2B2IO0"",""💰 Donations!A4:N200""),28,7),""DD-MM-YYYY"")),"""")"),"")</f>
        <v/>
      </c>
      <c r="J114" s="86" t="str">
        <f>IFERROR(__xludf.DUMMYFUNCTION("IFERROR(INDEX(IMPORTRANGE(""1wF8uimz-gnzzmqfjHb8Ua7fudqcoq5SrFyToq2B2IO0"",""💰 Donations!A4:N200""),28,8),"""")"),"")</f>
        <v/>
      </c>
      <c r="K114" s="93" t="str">
        <f>IFERROR(__xludf.DUMMYFUNCTION("IFERROR(INDEX(IMPORTRANGE(""1wF8uimz-gnzzmqfjHb8Ua7fudqcoq5SrFyToq2B2IO0"",""💰 Donations!A4:N200""),28,11),"""")"),"")</f>
        <v/>
      </c>
      <c r="L114" s="54" t="str">
        <f>IFERROR(__xludf.DUMMYFUNCTION("IFERROR(INDEX(IMPORTRANGE(""1wF8uimz-gnzzmqfjHb8Ua7fudqcoq5SrFyToq2B2IO0"",""💰 Donations!A4:N200""),28,13),"""")"),"")</f>
        <v/>
      </c>
      <c r="M114" s="86" t="str">
        <f>IFERROR(__xludf.DUMMYFUNCTION("IFERROR(INDEX(IMPORTRANGE(""1wF8uimz-gnzzmqfjHb8Ua7fudqcoq5SrFyToq2B2IO0"",""💰 Donations!A4:N200""),28,14),"""")"),"")</f>
        <v/>
      </c>
      <c r="N114" s="85" t="str">
        <f>IFERROR(__xludf.DUMMYFUNCTION("IFERROR(IF(INDEX(IMPORTRANGE(""1wF8uimz-gnzzmqfjHb8Ua7fudqcoq5SrFyToq2B2IO0"",""💰 Donations!A4:N200""),28,10)="""","""",TEXT(INDEX(IMPORTRANGE(""1wF8uimz-gnzzmqfjHb8Ua7fudqcoq5SrFyToq2B2IO0"",""💰 Donations!A4:N200""),28,10),""DD-MM-YYYY"")),"""")"),"")</f>
        <v/>
      </c>
    </row>
    <row r="115" ht="18.0" customHeight="1">
      <c r="A115" s="19" t="str">
        <f>IFERROR(__xludf.DUMMYFUNCTION("IFERROR(INDEX(IMPORTRANGE(""1wF8uimz-gnzzmqfjHb8Ua7fudqcoq5SrFyToq2B2IO0"",""💰 Donations!A4:N200""),29,1),"""")"),"")</f>
        <v/>
      </c>
      <c r="B115" s="88" t="str">
        <f>IFERROR(__xludf.DUMMYFUNCTION("IFERROR(INDEX(IMPORTRANGE(""1wF8uimz-gnzzmqfjHb8Ua7fudqcoq5SrFyToq2B2IO0"",""💰 Donations!A4:N200""),29,2),"""")"),"")</f>
        <v/>
      </c>
      <c r="C115" s="3"/>
      <c r="D115" s="20">
        <f>IFERROR(__xludf.DUMMYFUNCTION("IFERROR(IFERROR(INDEX(IMPORTRANGE(""1wF8uimz-gnzzmqfjHb8Ua7fudqcoq5SrFyToq2B2IO0"",""💰 Donations!A4:N200""),29,3)*1,0),0)"),0.0)</f>
        <v>0</v>
      </c>
      <c r="E115" s="39">
        <f>IFERROR(__xludf.DUMMYFUNCTION("IFERROR(IFERROR(INDEX(IMPORTRANGE(""1wF8uimz-gnzzmqfjHb8Ua7fudqcoq5SrFyToq2B2IO0"",""💰 Donations!A4:N200""),29,4)*1,0),0)"),0.0)</f>
        <v>0</v>
      </c>
      <c r="F115" s="21">
        <f t="shared" si="5"/>
        <v>0</v>
      </c>
      <c r="G115" s="89" t="str">
        <f t="shared" si="6"/>
        <v/>
      </c>
      <c r="H115" s="50" t="str">
        <f>IFERROR(__xludf.DUMMYFUNCTION("IFERROR(INDEX(IMPORTRANGE(""1wF8uimz-gnzzmqfjHb8Ua7fudqcoq5SrFyToq2B2IO0"",""💰 Donations!A4:N200""),29,6),"""")"),"")</f>
        <v/>
      </c>
      <c r="I115" s="82" t="str">
        <f>IFERROR(__xludf.DUMMYFUNCTION("IFERROR(IF(INDEX(IMPORTRANGE(""1wF8uimz-gnzzmqfjHb8Ua7fudqcoq5SrFyToq2B2IO0"",""💰 Donations!A4:N200""),29,7)="""","""",TEXT(INDEX(IMPORTRANGE(""1wF8uimz-gnzzmqfjHb8Ua7fudqcoq5SrFyToq2B2IO0"",""💰 Donations!A4:N200""),29,7),""DD-MM-YYYY"")),"""")"),"")</f>
        <v/>
      </c>
      <c r="J115" s="83" t="str">
        <f>IFERROR(__xludf.DUMMYFUNCTION("IFERROR(INDEX(IMPORTRANGE(""1wF8uimz-gnzzmqfjHb8Ua7fudqcoq5SrFyToq2B2IO0"",""💰 Donations!A4:N200""),29,8),"""")"),"")</f>
        <v/>
      </c>
      <c r="K115" s="90" t="str">
        <f>IFERROR(__xludf.DUMMYFUNCTION("IFERROR(INDEX(IMPORTRANGE(""1wF8uimz-gnzzmqfjHb8Ua7fudqcoq5SrFyToq2B2IO0"",""💰 Donations!A4:N200""),29,11),"""")"),"")</f>
        <v/>
      </c>
      <c r="L115" s="50" t="str">
        <f>IFERROR(__xludf.DUMMYFUNCTION("IFERROR(INDEX(IMPORTRANGE(""1wF8uimz-gnzzmqfjHb8Ua7fudqcoq5SrFyToq2B2IO0"",""💰 Donations!A4:N200""),29,13),"""")"),"")</f>
        <v/>
      </c>
      <c r="M115" s="83" t="str">
        <f>IFERROR(__xludf.DUMMYFUNCTION("IFERROR(INDEX(IMPORTRANGE(""1wF8uimz-gnzzmqfjHb8Ua7fudqcoq5SrFyToq2B2IO0"",""💰 Donations!A4:N200""),29,14),"""")"),"")</f>
        <v/>
      </c>
      <c r="N115" s="82" t="str">
        <f>IFERROR(__xludf.DUMMYFUNCTION("IFERROR(IF(INDEX(IMPORTRANGE(""1wF8uimz-gnzzmqfjHb8Ua7fudqcoq5SrFyToq2B2IO0"",""💰 Donations!A4:N200""),29,10)="""","""",TEXT(INDEX(IMPORTRANGE(""1wF8uimz-gnzzmqfjHb8Ua7fudqcoq5SrFyToq2B2IO0"",""💰 Donations!A4:N200""),29,10),""DD-MM-YYYY"")),"""")"),"")</f>
        <v/>
      </c>
    </row>
    <row r="116" ht="18.0" customHeight="1">
      <c r="A116" s="22" t="str">
        <f>IFERROR(__xludf.DUMMYFUNCTION("IFERROR(INDEX(IMPORTRANGE(""1wF8uimz-gnzzmqfjHb8Ua7fudqcoq5SrFyToq2B2IO0"",""💰 Donations!A4:N200""),30,1),"""")"),"")</f>
        <v/>
      </c>
      <c r="B116" s="91" t="str">
        <f>IFERROR(__xludf.DUMMYFUNCTION("IFERROR(INDEX(IMPORTRANGE(""1wF8uimz-gnzzmqfjHb8Ua7fudqcoq5SrFyToq2B2IO0"",""💰 Donations!A4:N200""),30,2),"""")"),"")</f>
        <v/>
      </c>
      <c r="C116" s="3"/>
      <c r="D116" s="23">
        <f>IFERROR(__xludf.DUMMYFUNCTION("IFERROR(IFERROR(INDEX(IMPORTRANGE(""1wF8uimz-gnzzmqfjHb8Ua7fudqcoq5SrFyToq2B2IO0"",""💰 Donations!A4:N200""),30,3)*1,0),0)"),0.0)</f>
        <v>0</v>
      </c>
      <c r="E116" s="40">
        <f>IFERROR(__xludf.DUMMYFUNCTION("IFERROR(IFERROR(INDEX(IMPORTRANGE(""1wF8uimz-gnzzmqfjHb8Ua7fudqcoq5SrFyToq2B2IO0"",""💰 Donations!A4:N200""),30,4)*1,0),0)"),0.0)</f>
        <v>0</v>
      </c>
      <c r="F116" s="24">
        <f t="shared" si="5"/>
        <v>0</v>
      </c>
      <c r="G116" s="92" t="str">
        <f t="shared" si="6"/>
        <v/>
      </c>
      <c r="H116" s="54" t="str">
        <f>IFERROR(__xludf.DUMMYFUNCTION("IFERROR(INDEX(IMPORTRANGE(""1wF8uimz-gnzzmqfjHb8Ua7fudqcoq5SrFyToq2B2IO0"",""💰 Donations!A4:N200""),30,6),"""")"),"")</f>
        <v/>
      </c>
      <c r="I116" s="85" t="str">
        <f>IFERROR(__xludf.DUMMYFUNCTION("IFERROR(IF(INDEX(IMPORTRANGE(""1wF8uimz-gnzzmqfjHb8Ua7fudqcoq5SrFyToq2B2IO0"",""💰 Donations!A4:N200""),30,7)="""","""",TEXT(INDEX(IMPORTRANGE(""1wF8uimz-gnzzmqfjHb8Ua7fudqcoq5SrFyToq2B2IO0"",""💰 Donations!A4:N200""),30,7),""DD-MM-YYYY"")),"""")"),"")</f>
        <v/>
      </c>
      <c r="J116" s="86" t="str">
        <f>IFERROR(__xludf.DUMMYFUNCTION("IFERROR(INDEX(IMPORTRANGE(""1wF8uimz-gnzzmqfjHb8Ua7fudqcoq5SrFyToq2B2IO0"",""💰 Donations!A4:N200""),30,8),"""")"),"")</f>
        <v/>
      </c>
      <c r="K116" s="93" t="str">
        <f>IFERROR(__xludf.DUMMYFUNCTION("IFERROR(INDEX(IMPORTRANGE(""1wF8uimz-gnzzmqfjHb8Ua7fudqcoq5SrFyToq2B2IO0"",""💰 Donations!A4:N200""),30,11),"""")"),"")</f>
        <v/>
      </c>
      <c r="L116" s="54" t="str">
        <f>IFERROR(__xludf.DUMMYFUNCTION("IFERROR(INDEX(IMPORTRANGE(""1wF8uimz-gnzzmqfjHb8Ua7fudqcoq5SrFyToq2B2IO0"",""💰 Donations!A4:N200""),30,13),"""")"),"")</f>
        <v/>
      </c>
      <c r="M116" s="86" t="str">
        <f>IFERROR(__xludf.DUMMYFUNCTION("IFERROR(INDEX(IMPORTRANGE(""1wF8uimz-gnzzmqfjHb8Ua7fudqcoq5SrFyToq2B2IO0"",""💰 Donations!A4:N200""),30,14),"""")"),"")</f>
        <v/>
      </c>
      <c r="N116" s="85" t="str">
        <f>IFERROR(__xludf.DUMMYFUNCTION("IFERROR(IF(INDEX(IMPORTRANGE(""1wF8uimz-gnzzmqfjHb8Ua7fudqcoq5SrFyToq2B2IO0"",""💰 Donations!A4:N200""),30,10)="""","""",TEXT(INDEX(IMPORTRANGE(""1wF8uimz-gnzzmqfjHb8Ua7fudqcoq5SrFyToq2B2IO0"",""💰 Donations!A4:N200""),30,10),""DD-MM-YYYY"")),"""")"),"")</f>
        <v/>
      </c>
    </row>
    <row r="117" ht="18.0" customHeight="1">
      <c r="A117" s="19" t="str">
        <f>IFERROR(__xludf.DUMMYFUNCTION("IFERROR(INDEX(IMPORTRANGE(""1wF8uimz-gnzzmqfjHb8Ua7fudqcoq5SrFyToq2B2IO0"",""💰 Donations!A4:N200""),31,1),"""")"),"")</f>
        <v/>
      </c>
      <c r="B117" s="88" t="str">
        <f>IFERROR(__xludf.DUMMYFUNCTION("IFERROR(INDEX(IMPORTRANGE(""1wF8uimz-gnzzmqfjHb8Ua7fudqcoq5SrFyToq2B2IO0"",""💰 Donations!A4:N200""),31,2),"""")"),"")</f>
        <v/>
      </c>
      <c r="C117" s="3"/>
      <c r="D117" s="20">
        <f>IFERROR(__xludf.DUMMYFUNCTION("IFERROR(IFERROR(INDEX(IMPORTRANGE(""1wF8uimz-gnzzmqfjHb8Ua7fudqcoq5SrFyToq2B2IO0"",""💰 Donations!A4:N200""),31,3)*1,0),0)"),0.0)</f>
        <v>0</v>
      </c>
      <c r="E117" s="39">
        <f>IFERROR(__xludf.DUMMYFUNCTION("IFERROR(IFERROR(INDEX(IMPORTRANGE(""1wF8uimz-gnzzmqfjHb8Ua7fudqcoq5SrFyToq2B2IO0"",""💰 Donations!A4:N200""),31,4)*1,0),0)"),0.0)</f>
        <v>0</v>
      </c>
      <c r="F117" s="21">
        <f t="shared" si="5"/>
        <v>0</v>
      </c>
      <c r="G117" s="89" t="str">
        <f t="shared" si="6"/>
        <v/>
      </c>
      <c r="H117" s="50" t="str">
        <f>IFERROR(__xludf.DUMMYFUNCTION("IFERROR(INDEX(IMPORTRANGE(""1wF8uimz-gnzzmqfjHb8Ua7fudqcoq5SrFyToq2B2IO0"",""💰 Donations!A4:N200""),31,6),"""")"),"")</f>
        <v/>
      </c>
      <c r="I117" s="82" t="str">
        <f>IFERROR(__xludf.DUMMYFUNCTION("IFERROR(IF(INDEX(IMPORTRANGE(""1wF8uimz-gnzzmqfjHb8Ua7fudqcoq5SrFyToq2B2IO0"",""💰 Donations!A4:N200""),31,7)="""","""",TEXT(INDEX(IMPORTRANGE(""1wF8uimz-gnzzmqfjHb8Ua7fudqcoq5SrFyToq2B2IO0"",""💰 Donations!A4:N200""),31,7),""DD-MM-YYYY"")),"""")"),"")</f>
        <v/>
      </c>
      <c r="J117" s="83" t="str">
        <f>IFERROR(__xludf.DUMMYFUNCTION("IFERROR(INDEX(IMPORTRANGE(""1wF8uimz-gnzzmqfjHb8Ua7fudqcoq5SrFyToq2B2IO0"",""💰 Donations!A4:N200""),31,8),"""")"),"")</f>
        <v/>
      </c>
      <c r="K117" s="90" t="str">
        <f>IFERROR(__xludf.DUMMYFUNCTION("IFERROR(INDEX(IMPORTRANGE(""1wF8uimz-gnzzmqfjHb8Ua7fudqcoq5SrFyToq2B2IO0"",""💰 Donations!A4:N200""),31,11),"""")"),"")</f>
        <v/>
      </c>
      <c r="L117" s="50" t="str">
        <f>IFERROR(__xludf.DUMMYFUNCTION("IFERROR(INDEX(IMPORTRANGE(""1wF8uimz-gnzzmqfjHb8Ua7fudqcoq5SrFyToq2B2IO0"",""💰 Donations!A4:N200""),31,13),"""")"),"")</f>
        <v/>
      </c>
      <c r="M117" s="83" t="str">
        <f>IFERROR(__xludf.DUMMYFUNCTION("IFERROR(INDEX(IMPORTRANGE(""1wF8uimz-gnzzmqfjHb8Ua7fudqcoq5SrFyToq2B2IO0"",""💰 Donations!A4:N200""),31,14),"""")"),"")</f>
        <v/>
      </c>
      <c r="N117" s="82" t="str">
        <f>IFERROR(__xludf.DUMMYFUNCTION("IFERROR(IF(INDEX(IMPORTRANGE(""1wF8uimz-gnzzmqfjHb8Ua7fudqcoq5SrFyToq2B2IO0"",""💰 Donations!A4:N200""),31,10)="""","""",TEXT(INDEX(IMPORTRANGE(""1wF8uimz-gnzzmqfjHb8Ua7fudqcoq5SrFyToq2B2IO0"",""💰 Donations!A4:N200""),31,10),""DD-MM-YYYY"")),"""")"),"")</f>
        <v/>
      </c>
    </row>
    <row r="118" ht="18.0" customHeight="1">
      <c r="A118" s="22" t="str">
        <f>IFERROR(__xludf.DUMMYFUNCTION("IFERROR(INDEX(IMPORTRANGE(""1wF8uimz-gnzzmqfjHb8Ua7fudqcoq5SrFyToq2B2IO0"",""💰 Donations!A4:N200""),32,1),"""")"),"")</f>
        <v/>
      </c>
      <c r="B118" s="91" t="str">
        <f>IFERROR(__xludf.DUMMYFUNCTION("IFERROR(INDEX(IMPORTRANGE(""1wF8uimz-gnzzmqfjHb8Ua7fudqcoq5SrFyToq2B2IO0"",""💰 Donations!A4:N200""),32,2),"""")"),"")</f>
        <v/>
      </c>
      <c r="C118" s="3"/>
      <c r="D118" s="23">
        <f>IFERROR(__xludf.DUMMYFUNCTION("IFERROR(IFERROR(INDEX(IMPORTRANGE(""1wF8uimz-gnzzmqfjHb8Ua7fudqcoq5SrFyToq2B2IO0"",""💰 Donations!A4:N200""),32,3)*1,0),0)"),0.0)</f>
        <v>0</v>
      </c>
      <c r="E118" s="40">
        <f>IFERROR(__xludf.DUMMYFUNCTION("IFERROR(IFERROR(INDEX(IMPORTRANGE(""1wF8uimz-gnzzmqfjHb8Ua7fudqcoq5SrFyToq2B2IO0"",""💰 Donations!A4:N200""),32,4)*1,0),0)"),0.0)</f>
        <v>0</v>
      </c>
      <c r="F118" s="24">
        <f t="shared" si="5"/>
        <v>0</v>
      </c>
      <c r="G118" s="92" t="str">
        <f t="shared" si="6"/>
        <v/>
      </c>
      <c r="H118" s="54" t="str">
        <f>IFERROR(__xludf.DUMMYFUNCTION("IFERROR(INDEX(IMPORTRANGE(""1wF8uimz-gnzzmqfjHb8Ua7fudqcoq5SrFyToq2B2IO0"",""💰 Donations!A4:N200""),32,6),"""")"),"")</f>
        <v/>
      </c>
      <c r="I118" s="85" t="str">
        <f>IFERROR(__xludf.DUMMYFUNCTION("IFERROR(IF(INDEX(IMPORTRANGE(""1wF8uimz-gnzzmqfjHb8Ua7fudqcoq5SrFyToq2B2IO0"",""💰 Donations!A4:N200""),32,7)="""","""",TEXT(INDEX(IMPORTRANGE(""1wF8uimz-gnzzmqfjHb8Ua7fudqcoq5SrFyToq2B2IO0"",""💰 Donations!A4:N200""),32,7),""DD-MM-YYYY"")),"""")"),"")</f>
        <v/>
      </c>
      <c r="J118" s="86" t="str">
        <f>IFERROR(__xludf.DUMMYFUNCTION("IFERROR(INDEX(IMPORTRANGE(""1wF8uimz-gnzzmqfjHb8Ua7fudqcoq5SrFyToq2B2IO0"",""💰 Donations!A4:N200""),32,8),"""")"),"")</f>
        <v/>
      </c>
      <c r="K118" s="93" t="str">
        <f>IFERROR(__xludf.DUMMYFUNCTION("IFERROR(INDEX(IMPORTRANGE(""1wF8uimz-gnzzmqfjHb8Ua7fudqcoq5SrFyToq2B2IO0"",""💰 Donations!A4:N200""),32,11),"""")"),"")</f>
        <v/>
      </c>
      <c r="L118" s="54" t="str">
        <f>IFERROR(__xludf.DUMMYFUNCTION("IFERROR(INDEX(IMPORTRANGE(""1wF8uimz-gnzzmqfjHb8Ua7fudqcoq5SrFyToq2B2IO0"",""💰 Donations!A4:N200""),32,13),"""")"),"")</f>
        <v/>
      </c>
      <c r="M118" s="86" t="str">
        <f>IFERROR(__xludf.DUMMYFUNCTION("IFERROR(INDEX(IMPORTRANGE(""1wF8uimz-gnzzmqfjHb8Ua7fudqcoq5SrFyToq2B2IO0"",""💰 Donations!A4:N200""),32,14),"""")"),"")</f>
        <v/>
      </c>
      <c r="N118" s="85" t="str">
        <f>IFERROR(__xludf.DUMMYFUNCTION("IFERROR(IF(INDEX(IMPORTRANGE(""1wF8uimz-gnzzmqfjHb8Ua7fudqcoq5SrFyToq2B2IO0"",""💰 Donations!A4:N200""),32,10)="""","""",TEXT(INDEX(IMPORTRANGE(""1wF8uimz-gnzzmqfjHb8Ua7fudqcoq5SrFyToq2B2IO0"",""💰 Donations!A4:N200""),32,10),""DD-MM-YYYY"")),"""")"),"")</f>
        <v/>
      </c>
    </row>
    <row r="119" ht="18.0" customHeight="1">
      <c r="A119" s="19" t="str">
        <f>IFERROR(__xludf.DUMMYFUNCTION("IFERROR(INDEX(IMPORTRANGE(""1wF8uimz-gnzzmqfjHb8Ua7fudqcoq5SrFyToq2B2IO0"",""💰 Donations!A4:N200""),33,1),"""")"),"")</f>
        <v/>
      </c>
      <c r="B119" s="88" t="str">
        <f>IFERROR(__xludf.DUMMYFUNCTION("IFERROR(INDEX(IMPORTRANGE(""1wF8uimz-gnzzmqfjHb8Ua7fudqcoq5SrFyToq2B2IO0"",""💰 Donations!A4:N200""),33,2),"""")"),"")</f>
        <v/>
      </c>
      <c r="C119" s="3"/>
      <c r="D119" s="20">
        <f>IFERROR(__xludf.DUMMYFUNCTION("IFERROR(IFERROR(INDEX(IMPORTRANGE(""1wF8uimz-gnzzmqfjHb8Ua7fudqcoq5SrFyToq2B2IO0"",""💰 Donations!A4:N200""),33,3)*1,0),0)"),0.0)</f>
        <v>0</v>
      </c>
      <c r="E119" s="39">
        <f>IFERROR(__xludf.DUMMYFUNCTION("IFERROR(IFERROR(INDEX(IMPORTRANGE(""1wF8uimz-gnzzmqfjHb8Ua7fudqcoq5SrFyToq2B2IO0"",""💰 Donations!A4:N200""),33,4)*1,0),0)"),0.0)</f>
        <v>0</v>
      </c>
      <c r="F119" s="21">
        <f t="shared" si="5"/>
        <v>0</v>
      </c>
      <c r="G119" s="89" t="str">
        <f t="shared" si="6"/>
        <v/>
      </c>
      <c r="H119" s="50" t="str">
        <f>IFERROR(__xludf.DUMMYFUNCTION("IFERROR(INDEX(IMPORTRANGE(""1wF8uimz-gnzzmqfjHb8Ua7fudqcoq5SrFyToq2B2IO0"",""💰 Donations!A4:N200""),33,6),"""")"),"")</f>
        <v/>
      </c>
      <c r="I119" s="82" t="str">
        <f>IFERROR(__xludf.DUMMYFUNCTION("IFERROR(IF(INDEX(IMPORTRANGE(""1wF8uimz-gnzzmqfjHb8Ua7fudqcoq5SrFyToq2B2IO0"",""💰 Donations!A4:N200""),33,7)="""","""",TEXT(INDEX(IMPORTRANGE(""1wF8uimz-gnzzmqfjHb8Ua7fudqcoq5SrFyToq2B2IO0"",""💰 Donations!A4:N200""),33,7),""DD-MM-YYYY"")),"""")"),"")</f>
        <v/>
      </c>
      <c r="J119" s="83" t="str">
        <f>IFERROR(__xludf.DUMMYFUNCTION("IFERROR(INDEX(IMPORTRANGE(""1wF8uimz-gnzzmqfjHb8Ua7fudqcoq5SrFyToq2B2IO0"",""💰 Donations!A4:N200""),33,8),"""")"),"")</f>
        <v/>
      </c>
      <c r="K119" s="90" t="str">
        <f>IFERROR(__xludf.DUMMYFUNCTION("IFERROR(INDEX(IMPORTRANGE(""1wF8uimz-gnzzmqfjHb8Ua7fudqcoq5SrFyToq2B2IO0"",""💰 Donations!A4:N200""),33,11),"""")"),"")</f>
        <v/>
      </c>
      <c r="L119" s="50" t="str">
        <f>IFERROR(__xludf.DUMMYFUNCTION("IFERROR(INDEX(IMPORTRANGE(""1wF8uimz-gnzzmqfjHb8Ua7fudqcoq5SrFyToq2B2IO0"",""💰 Donations!A4:N200""),33,13),"""")"),"")</f>
        <v/>
      </c>
      <c r="M119" s="83" t="str">
        <f>IFERROR(__xludf.DUMMYFUNCTION("IFERROR(INDEX(IMPORTRANGE(""1wF8uimz-gnzzmqfjHb8Ua7fudqcoq5SrFyToq2B2IO0"",""💰 Donations!A4:N200""),33,14),"""")"),"")</f>
        <v/>
      </c>
      <c r="N119" s="82" t="str">
        <f>IFERROR(__xludf.DUMMYFUNCTION("IFERROR(IF(INDEX(IMPORTRANGE(""1wF8uimz-gnzzmqfjHb8Ua7fudqcoq5SrFyToq2B2IO0"",""💰 Donations!A4:N200""),33,10)="""","""",TEXT(INDEX(IMPORTRANGE(""1wF8uimz-gnzzmqfjHb8Ua7fudqcoq5SrFyToq2B2IO0"",""💰 Donations!A4:N200""),33,10),""DD-MM-YYYY"")),"""")"),"")</f>
        <v/>
      </c>
    </row>
    <row r="120" ht="18.0" customHeight="1">
      <c r="A120" s="22" t="str">
        <f>IFERROR(__xludf.DUMMYFUNCTION("IFERROR(INDEX(IMPORTRANGE(""1wF8uimz-gnzzmqfjHb8Ua7fudqcoq5SrFyToq2B2IO0"",""💰 Donations!A4:N200""),34,1),"""")"),"")</f>
        <v/>
      </c>
      <c r="B120" s="91" t="str">
        <f>IFERROR(__xludf.DUMMYFUNCTION("IFERROR(INDEX(IMPORTRANGE(""1wF8uimz-gnzzmqfjHb8Ua7fudqcoq5SrFyToq2B2IO0"",""💰 Donations!A4:N200""),34,2),"""")"),"")</f>
        <v/>
      </c>
      <c r="C120" s="3"/>
      <c r="D120" s="23">
        <f>IFERROR(__xludf.DUMMYFUNCTION("IFERROR(IFERROR(INDEX(IMPORTRANGE(""1wF8uimz-gnzzmqfjHb8Ua7fudqcoq5SrFyToq2B2IO0"",""💰 Donations!A4:N200""),34,3)*1,0),0)"),0.0)</f>
        <v>0</v>
      </c>
      <c r="E120" s="40">
        <f>IFERROR(__xludf.DUMMYFUNCTION("IFERROR(IFERROR(INDEX(IMPORTRANGE(""1wF8uimz-gnzzmqfjHb8Ua7fudqcoq5SrFyToq2B2IO0"",""💰 Donations!A4:N200""),34,4)*1,0),0)"),0.0)</f>
        <v>0</v>
      </c>
      <c r="F120" s="24">
        <f t="shared" si="5"/>
        <v>0</v>
      </c>
      <c r="G120" s="92" t="str">
        <f t="shared" si="6"/>
        <v/>
      </c>
      <c r="H120" s="54" t="str">
        <f>IFERROR(__xludf.DUMMYFUNCTION("IFERROR(INDEX(IMPORTRANGE(""1wF8uimz-gnzzmqfjHb8Ua7fudqcoq5SrFyToq2B2IO0"",""💰 Donations!A4:N200""),34,6),"""")"),"")</f>
        <v/>
      </c>
      <c r="I120" s="85" t="str">
        <f>IFERROR(__xludf.DUMMYFUNCTION("IFERROR(IF(INDEX(IMPORTRANGE(""1wF8uimz-gnzzmqfjHb8Ua7fudqcoq5SrFyToq2B2IO0"",""💰 Donations!A4:N200""),34,7)="""","""",TEXT(INDEX(IMPORTRANGE(""1wF8uimz-gnzzmqfjHb8Ua7fudqcoq5SrFyToq2B2IO0"",""💰 Donations!A4:N200""),34,7),""DD-MM-YYYY"")),"""")"),"")</f>
        <v/>
      </c>
      <c r="J120" s="86" t="str">
        <f>IFERROR(__xludf.DUMMYFUNCTION("IFERROR(INDEX(IMPORTRANGE(""1wF8uimz-gnzzmqfjHb8Ua7fudqcoq5SrFyToq2B2IO0"",""💰 Donations!A4:N200""),34,8),"""")"),"")</f>
        <v/>
      </c>
      <c r="K120" s="93" t="str">
        <f>IFERROR(__xludf.DUMMYFUNCTION("IFERROR(INDEX(IMPORTRANGE(""1wF8uimz-gnzzmqfjHb8Ua7fudqcoq5SrFyToq2B2IO0"",""💰 Donations!A4:N200""),34,11),"""")"),"")</f>
        <v/>
      </c>
      <c r="L120" s="54" t="str">
        <f>IFERROR(__xludf.DUMMYFUNCTION("IFERROR(INDEX(IMPORTRANGE(""1wF8uimz-gnzzmqfjHb8Ua7fudqcoq5SrFyToq2B2IO0"",""💰 Donations!A4:N200""),34,13),"""")"),"")</f>
        <v/>
      </c>
      <c r="M120" s="86" t="str">
        <f>IFERROR(__xludf.DUMMYFUNCTION("IFERROR(INDEX(IMPORTRANGE(""1wF8uimz-gnzzmqfjHb8Ua7fudqcoq5SrFyToq2B2IO0"",""💰 Donations!A4:N200""),34,14),"""")"),"")</f>
        <v/>
      </c>
      <c r="N120" s="85" t="str">
        <f>IFERROR(__xludf.DUMMYFUNCTION("IFERROR(IF(INDEX(IMPORTRANGE(""1wF8uimz-gnzzmqfjHb8Ua7fudqcoq5SrFyToq2B2IO0"",""💰 Donations!A4:N200""),34,10)="""","""",TEXT(INDEX(IMPORTRANGE(""1wF8uimz-gnzzmqfjHb8Ua7fudqcoq5SrFyToq2B2IO0"",""💰 Donations!A4:N200""),34,10),""DD-MM-YYYY"")),"""")"),"")</f>
        <v/>
      </c>
    </row>
    <row r="121" ht="18.0" customHeight="1">
      <c r="A121" s="19" t="str">
        <f>IFERROR(__xludf.DUMMYFUNCTION("IFERROR(INDEX(IMPORTRANGE(""1wF8uimz-gnzzmqfjHb8Ua7fudqcoq5SrFyToq2B2IO0"",""💰 Donations!A4:N200""),35,1),"""")"),"")</f>
        <v/>
      </c>
      <c r="B121" s="88" t="str">
        <f>IFERROR(__xludf.DUMMYFUNCTION("IFERROR(INDEX(IMPORTRANGE(""1wF8uimz-gnzzmqfjHb8Ua7fudqcoq5SrFyToq2B2IO0"",""💰 Donations!A4:N200""),35,2),"""")"),"")</f>
        <v/>
      </c>
      <c r="C121" s="3"/>
      <c r="D121" s="20">
        <f>IFERROR(__xludf.DUMMYFUNCTION("IFERROR(IFERROR(INDEX(IMPORTRANGE(""1wF8uimz-gnzzmqfjHb8Ua7fudqcoq5SrFyToq2B2IO0"",""💰 Donations!A4:N200""),35,3)*1,0),0)"),0.0)</f>
        <v>0</v>
      </c>
      <c r="E121" s="39">
        <f>IFERROR(__xludf.DUMMYFUNCTION("IFERROR(IFERROR(INDEX(IMPORTRANGE(""1wF8uimz-gnzzmqfjHb8Ua7fudqcoq5SrFyToq2B2IO0"",""💰 Donations!A4:N200""),35,4)*1,0),0)"),0.0)</f>
        <v>0</v>
      </c>
      <c r="F121" s="21">
        <f t="shared" si="5"/>
        <v>0</v>
      </c>
      <c r="G121" s="89" t="str">
        <f t="shared" si="6"/>
        <v/>
      </c>
      <c r="H121" s="50" t="str">
        <f>IFERROR(__xludf.DUMMYFUNCTION("IFERROR(INDEX(IMPORTRANGE(""1wF8uimz-gnzzmqfjHb8Ua7fudqcoq5SrFyToq2B2IO0"",""💰 Donations!A4:N200""),35,6),"""")"),"")</f>
        <v/>
      </c>
      <c r="I121" s="82" t="str">
        <f>IFERROR(__xludf.DUMMYFUNCTION("IFERROR(IF(INDEX(IMPORTRANGE(""1wF8uimz-gnzzmqfjHb8Ua7fudqcoq5SrFyToq2B2IO0"",""💰 Donations!A4:N200""),35,7)="""","""",TEXT(INDEX(IMPORTRANGE(""1wF8uimz-gnzzmqfjHb8Ua7fudqcoq5SrFyToq2B2IO0"",""💰 Donations!A4:N200""),35,7),""DD-MM-YYYY"")),"""")"),"")</f>
        <v/>
      </c>
      <c r="J121" s="83" t="str">
        <f>IFERROR(__xludf.DUMMYFUNCTION("IFERROR(INDEX(IMPORTRANGE(""1wF8uimz-gnzzmqfjHb8Ua7fudqcoq5SrFyToq2B2IO0"",""💰 Donations!A4:N200""),35,8),"""")"),"")</f>
        <v/>
      </c>
      <c r="K121" s="90" t="str">
        <f>IFERROR(__xludf.DUMMYFUNCTION("IFERROR(INDEX(IMPORTRANGE(""1wF8uimz-gnzzmqfjHb8Ua7fudqcoq5SrFyToq2B2IO0"",""💰 Donations!A4:N200""),35,11),"""")"),"")</f>
        <v/>
      </c>
      <c r="L121" s="50" t="str">
        <f>IFERROR(__xludf.DUMMYFUNCTION("IFERROR(INDEX(IMPORTRANGE(""1wF8uimz-gnzzmqfjHb8Ua7fudqcoq5SrFyToq2B2IO0"",""💰 Donations!A4:N200""),35,13),"""")"),"")</f>
        <v/>
      </c>
      <c r="M121" s="83" t="str">
        <f>IFERROR(__xludf.DUMMYFUNCTION("IFERROR(INDEX(IMPORTRANGE(""1wF8uimz-gnzzmqfjHb8Ua7fudqcoq5SrFyToq2B2IO0"",""💰 Donations!A4:N200""),35,14),"""")"),"")</f>
        <v/>
      </c>
      <c r="N121" s="82" t="str">
        <f>IFERROR(__xludf.DUMMYFUNCTION("IFERROR(IF(INDEX(IMPORTRANGE(""1wF8uimz-gnzzmqfjHb8Ua7fudqcoq5SrFyToq2B2IO0"",""💰 Donations!A4:N200""),35,10)="""","""",TEXT(INDEX(IMPORTRANGE(""1wF8uimz-gnzzmqfjHb8Ua7fudqcoq5SrFyToq2B2IO0"",""💰 Donations!A4:N200""),35,10),""DD-MM-YYYY"")),"""")"),"")</f>
        <v/>
      </c>
    </row>
    <row r="122" ht="18.0" customHeight="1">
      <c r="A122" s="22" t="str">
        <f>IFERROR(__xludf.DUMMYFUNCTION("IFERROR(INDEX(IMPORTRANGE(""1wF8uimz-gnzzmqfjHb8Ua7fudqcoq5SrFyToq2B2IO0"",""💰 Donations!A4:N200""),36,1),"""")"),"")</f>
        <v/>
      </c>
      <c r="B122" s="91" t="str">
        <f>IFERROR(__xludf.DUMMYFUNCTION("IFERROR(INDEX(IMPORTRANGE(""1wF8uimz-gnzzmqfjHb8Ua7fudqcoq5SrFyToq2B2IO0"",""💰 Donations!A4:N200""),36,2),"""")"),"")</f>
        <v/>
      </c>
      <c r="C122" s="3"/>
      <c r="D122" s="23">
        <f>IFERROR(__xludf.DUMMYFUNCTION("IFERROR(IFERROR(INDEX(IMPORTRANGE(""1wF8uimz-gnzzmqfjHb8Ua7fudqcoq5SrFyToq2B2IO0"",""💰 Donations!A4:N200""),36,3)*1,0),0)"),0.0)</f>
        <v>0</v>
      </c>
      <c r="E122" s="40">
        <f>IFERROR(__xludf.DUMMYFUNCTION("IFERROR(IFERROR(INDEX(IMPORTRANGE(""1wF8uimz-gnzzmqfjHb8Ua7fudqcoq5SrFyToq2B2IO0"",""💰 Donations!A4:N200""),36,4)*1,0),0)"),0.0)</f>
        <v>0</v>
      </c>
      <c r="F122" s="24">
        <f t="shared" si="5"/>
        <v>0</v>
      </c>
      <c r="G122" s="92" t="str">
        <f t="shared" si="6"/>
        <v/>
      </c>
      <c r="H122" s="54" t="str">
        <f>IFERROR(__xludf.DUMMYFUNCTION("IFERROR(INDEX(IMPORTRANGE(""1wF8uimz-gnzzmqfjHb8Ua7fudqcoq5SrFyToq2B2IO0"",""💰 Donations!A4:N200""),36,6),"""")"),"")</f>
        <v/>
      </c>
      <c r="I122" s="85" t="str">
        <f>IFERROR(__xludf.DUMMYFUNCTION("IFERROR(IF(INDEX(IMPORTRANGE(""1wF8uimz-gnzzmqfjHb8Ua7fudqcoq5SrFyToq2B2IO0"",""💰 Donations!A4:N200""),36,7)="""","""",TEXT(INDEX(IMPORTRANGE(""1wF8uimz-gnzzmqfjHb8Ua7fudqcoq5SrFyToq2B2IO0"",""💰 Donations!A4:N200""),36,7),""DD-MM-YYYY"")),"""")"),"")</f>
        <v/>
      </c>
      <c r="J122" s="86" t="str">
        <f>IFERROR(__xludf.DUMMYFUNCTION("IFERROR(INDEX(IMPORTRANGE(""1wF8uimz-gnzzmqfjHb8Ua7fudqcoq5SrFyToq2B2IO0"",""💰 Donations!A4:N200""),36,8),"""")"),"")</f>
        <v/>
      </c>
      <c r="K122" s="93" t="str">
        <f>IFERROR(__xludf.DUMMYFUNCTION("IFERROR(INDEX(IMPORTRANGE(""1wF8uimz-gnzzmqfjHb8Ua7fudqcoq5SrFyToq2B2IO0"",""💰 Donations!A4:N200""),36,11),"""")"),"")</f>
        <v/>
      </c>
      <c r="L122" s="54" t="str">
        <f>IFERROR(__xludf.DUMMYFUNCTION("IFERROR(INDEX(IMPORTRANGE(""1wF8uimz-gnzzmqfjHb8Ua7fudqcoq5SrFyToq2B2IO0"",""💰 Donations!A4:N200""),36,13),"""")"),"")</f>
        <v/>
      </c>
      <c r="M122" s="86" t="str">
        <f>IFERROR(__xludf.DUMMYFUNCTION("IFERROR(INDEX(IMPORTRANGE(""1wF8uimz-gnzzmqfjHb8Ua7fudqcoq5SrFyToq2B2IO0"",""💰 Donations!A4:N200""),36,14),"""")"),"")</f>
        <v/>
      </c>
      <c r="N122" s="85" t="str">
        <f>IFERROR(__xludf.DUMMYFUNCTION("IFERROR(IF(INDEX(IMPORTRANGE(""1wF8uimz-gnzzmqfjHb8Ua7fudqcoq5SrFyToq2B2IO0"",""💰 Donations!A4:N200""),36,10)="""","""",TEXT(INDEX(IMPORTRANGE(""1wF8uimz-gnzzmqfjHb8Ua7fudqcoq5SrFyToq2B2IO0"",""💰 Donations!A4:N200""),36,10),""DD-MM-YYYY"")),"""")"),"")</f>
        <v/>
      </c>
    </row>
    <row r="123" ht="18.0" customHeight="1">
      <c r="A123" s="19" t="str">
        <f>IFERROR(__xludf.DUMMYFUNCTION("IFERROR(INDEX(IMPORTRANGE(""1wF8uimz-gnzzmqfjHb8Ua7fudqcoq5SrFyToq2B2IO0"",""💰 Donations!A4:N200""),37,1),"""")"),"")</f>
        <v/>
      </c>
      <c r="B123" s="88" t="str">
        <f>IFERROR(__xludf.DUMMYFUNCTION("IFERROR(INDEX(IMPORTRANGE(""1wF8uimz-gnzzmqfjHb8Ua7fudqcoq5SrFyToq2B2IO0"",""💰 Donations!A4:N200""),37,2),"""")"),"")</f>
        <v/>
      </c>
      <c r="C123" s="3"/>
      <c r="D123" s="20">
        <f>IFERROR(__xludf.DUMMYFUNCTION("IFERROR(IFERROR(INDEX(IMPORTRANGE(""1wF8uimz-gnzzmqfjHb8Ua7fudqcoq5SrFyToq2B2IO0"",""💰 Donations!A4:N200""),37,3)*1,0),0)"),0.0)</f>
        <v>0</v>
      </c>
      <c r="E123" s="39">
        <f>IFERROR(__xludf.DUMMYFUNCTION("IFERROR(IFERROR(INDEX(IMPORTRANGE(""1wF8uimz-gnzzmqfjHb8Ua7fudqcoq5SrFyToq2B2IO0"",""💰 Donations!A4:N200""),37,4)*1,0),0)"),0.0)</f>
        <v>0</v>
      </c>
      <c r="F123" s="21">
        <f t="shared" si="5"/>
        <v>0</v>
      </c>
      <c r="G123" s="89" t="str">
        <f t="shared" si="6"/>
        <v/>
      </c>
      <c r="H123" s="50" t="str">
        <f>IFERROR(__xludf.DUMMYFUNCTION("IFERROR(INDEX(IMPORTRANGE(""1wF8uimz-gnzzmqfjHb8Ua7fudqcoq5SrFyToq2B2IO0"",""💰 Donations!A4:N200""),37,6),"""")"),"")</f>
        <v/>
      </c>
      <c r="I123" s="82" t="str">
        <f>IFERROR(__xludf.DUMMYFUNCTION("IFERROR(IF(INDEX(IMPORTRANGE(""1wF8uimz-gnzzmqfjHb8Ua7fudqcoq5SrFyToq2B2IO0"",""💰 Donations!A4:N200""),37,7)="""","""",TEXT(INDEX(IMPORTRANGE(""1wF8uimz-gnzzmqfjHb8Ua7fudqcoq5SrFyToq2B2IO0"",""💰 Donations!A4:N200""),37,7),""DD-MM-YYYY"")),"""")"),"")</f>
        <v/>
      </c>
      <c r="J123" s="83" t="str">
        <f>IFERROR(__xludf.DUMMYFUNCTION("IFERROR(INDEX(IMPORTRANGE(""1wF8uimz-gnzzmqfjHb8Ua7fudqcoq5SrFyToq2B2IO0"",""💰 Donations!A4:N200""),37,8),"""")"),"")</f>
        <v/>
      </c>
      <c r="K123" s="90" t="str">
        <f>IFERROR(__xludf.DUMMYFUNCTION("IFERROR(INDEX(IMPORTRANGE(""1wF8uimz-gnzzmqfjHb8Ua7fudqcoq5SrFyToq2B2IO0"",""💰 Donations!A4:N200""),37,11),"""")"),"")</f>
        <v/>
      </c>
      <c r="L123" s="50" t="str">
        <f>IFERROR(__xludf.DUMMYFUNCTION("IFERROR(INDEX(IMPORTRANGE(""1wF8uimz-gnzzmqfjHb8Ua7fudqcoq5SrFyToq2B2IO0"",""💰 Donations!A4:N200""),37,13),"""")"),"")</f>
        <v/>
      </c>
      <c r="M123" s="83" t="str">
        <f>IFERROR(__xludf.DUMMYFUNCTION("IFERROR(INDEX(IMPORTRANGE(""1wF8uimz-gnzzmqfjHb8Ua7fudqcoq5SrFyToq2B2IO0"",""💰 Donations!A4:N200""),37,14),"""")"),"")</f>
        <v/>
      </c>
      <c r="N123" s="82" t="str">
        <f>IFERROR(__xludf.DUMMYFUNCTION("IFERROR(IF(INDEX(IMPORTRANGE(""1wF8uimz-gnzzmqfjHb8Ua7fudqcoq5SrFyToq2B2IO0"",""💰 Donations!A4:N200""),37,10)="""","""",TEXT(INDEX(IMPORTRANGE(""1wF8uimz-gnzzmqfjHb8Ua7fudqcoq5SrFyToq2B2IO0"",""💰 Donations!A4:N200""),37,10),""DD-MM-YYYY"")),"""")"),"")</f>
        <v/>
      </c>
    </row>
    <row r="124" ht="18.0" customHeight="1">
      <c r="A124" s="22" t="str">
        <f>IFERROR(__xludf.DUMMYFUNCTION("IFERROR(INDEX(IMPORTRANGE(""1wF8uimz-gnzzmqfjHb8Ua7fudqcoq5SrFyToq2B2IO0"",""💰 Donations!A4:N200""),38,1),"""")"),"")</f>
        <v/>
      </c>
      <c r="B124" s="91" t="str">
        <f>IFERROR(__xludf.DUMMYFUNCTION("IFERROR(INDEX(IMPORTRANGE(""1wF8uimz-gnzzmqfjHb8Ua7fudqcoq5SrFyToq2B2IO0"",""💰 Donations!A4:N200""),38,2),"""")"),"")</f>
        <v/>
      </c>
      <c r="C124" s="3"/>
      <c r="D124" s="23">
        <f>IFERROR(__xludf.DUMMYFUNCTION("IFERROR(IFERROR(INDEX(IMPORTRANGE(""1wF8uimz-gnzzmqfjHb8Ua7fudqcoq5SrFyToq2B2IO0"",""💰 Donations!A4:N200""),38,3)*1,0),0)"),0.0)</f>
        <v>0</v>
      </c>
      <c r="E124" s="40">
        <f>IFERROR(__xludf.DUMMYFUNCTION("IFERROR(IFERROR(INDEX(IMPORTRANGE(""1wF8uimz-gnzzmqfjHb8Ua7fudqcoq5SrFyToq2B2IO0"",""💰 Donations!A4:N200""),38,4)*1,0),0)"),0.0)</f>
        <v>0</v>
      </c>
      <c r="F124" s="24">
        <f t="shared" si="5"/>
        <v>0</v>
      </c>
      <c r="G124" s="92" t="str">
        <f t="shared" si="6"/>
        <v/>
      </c>
      <c r="H124" s="54" t="str">
        <f>IFERROR(__xludf.DUMMYFUNCTION("IFERROR(INDEX(IMPORTRANGE(""1wF8uimz-gnzzmqfjHb8Ua7fudqcoq5SrFyToq2B2IO0"",""💰 Donations!A4:N200""),38,6),"""")"),"")</f>
        <v/>
      </c>
      <c r="I124" s="85" t="str">
        <f>IFERROR(__xludf.DUMMYFUNCTION("IFERROR(IF(INDEX(IMPORTRANGE(""1wF8uimz-gnzzmqfjHb8Ua7fudqcoq5SrFyToq2B2IO0"",""💰 Donations!A4:N200""),38,7)="""","""",TEXT(INDEX(IMPORTRANGE(""1wF8uimz-gnzzmqfjHb8Ua7fudqcoq5SrFyToq2B2IO0"",""💰 Donations!A4:N200""),38,7),""DD-MM-YYYY"")),"""")"),"")</f>
        <v/>
      </c>
      <c r="J124" s="86" t="str">
        <f>IFERROR(__xludf.DUMMYFUNCTION("IFERROR(INDEX(IMPORTRANGE(""1wF8uimz-gnzzmqfjHb8Ua7fudqcoq5SrFyToq2B2IO0"",""💰 Donations!A4:N200""),38,8),"""")"),"")</f>
        <v/>
      </c>
      <c r="K124" s="93" t="str">
        <f>IFERROR(__xludf.DUMMYFUNCTION("IFERROR(INDEX(IMPORTRANGE(""1wF8uimz-gnzzmqfjHb8Ua7fudqcoq5SrFyToq2B2IO0"",""💰 Donations!A4:N200""),38,11),"""")"),"")</f>
        <v/>
      </c>
      <c r="L124" s="54" t="str">
        <f>IFERROR(__xludf.DUMMYFUNCTION("IFERROR(INDEX(IMPORTRANGE(""1wF8uimz-gnzzmqfjHb8Ua7fudqcoq5SrFyToq2B2IO0"",""💰 Donations!A4:N200""),38,13),"""")"),"")</f>
        <v/>
      </c>
      <c r="M124" s="86" t="str">
        <f>IFERROR(__xludf.DUMMYFUNCTION("IFERROR(INDEX(IMPORTRANGE(""1wF8uimz-gnzzmqfjHb8Ua7fudqcoq5SrFyToq2B2IO0"",""💰 Donations!A4:N200""),38,14),"""")"),"")</f>
        <v/>
      </c>
      <c r="N124" s="85" t="str">
        <f>IFERROR(__xludf.DUMMYFUNCTION("IFERROR(IF(INDEX(IMPORTRANGE(""1wF8uimz-gnzzmqfjHb8Ua7fudqcoq5SrFyToq2B2IO0"",""💰 Donations!A4:N200""),38,10)="""","""",TEXT(INDEX(IMPORTRANGE(""1wF8uimz-gnzzmqfjHb8Ua7fudqcoq5SrFyToq2B2IO0"",""💰 Donations!A4:N200""),38,10),""DD-MM-YYYY"")),"""")"),"")</f>
        <v/>
      </c>
    </row>
    <row r="125" ht="18.0" customHeight="1">
      <c r="A125" s="19" t="str">
        <f>IFERROR(__xludf.DUMMYFUNCTION("IFERROR(INDEX(IMPORTRANGE(""1wF8uimz-gnzzmqfjHb8Ua7fudqcoq5SrFyToq2B2IO0"",""💰 Donations!A4:N200""),39,1),"""")"),"")</f>
        <v/>
      </c>
      <c r="B125" s="88" t="str">
        <f>IFERROR(__xludf.DUMMYFUNCTION("IFERROR(INDEX(IMPORTRANGE(""1wF8uimz-gnzzmqfjHb8Ua7fudqcoq5SrFyToq2B2IO0"",""💰 Donations!A4:N200""),39,2),"""")"),"")</f>
        <v/>
      </c>
      <c r="C125" s="3"/>
      <c r="D125" s="20">
        <f>IFERROR(__xludf.DUMMYFUNCTION("IFERROR(IFERROR(INDEX(IMPORTRANGE(""1wF8uimz-gnzzmqfjHb8Ua7fudqcoq5SrFyToq2B2IO0"",""💰 Donations!A4:N200""),39,3)*1,0),0)"),0.0)</f>
        <v>0</v>
      </c>
      <c r="E125" s="39">
        <f>IFERROR(__xludf.DUMMYFUNCTION("IFERROR(IFERROR(INDEX(IMPORTRANGE(""1wF8uimz-gnzzmqfjHb8Ua7fudqcoq5SrFyToq2B2IO0"",""💰 Donations!A4:N200""),39,4)*1,0),0)"),0.0)</f>
        <v>0</v>
      </c>
      <c r="F125" s="21">
        <f t="shared" si="5"/>
        <v>0</v>
      </c>
      <c r="G125" s="89" t="str">
        <f t="shared" si="6"/>
        <v/>
      </c>
      <c r="H125" s="50" t="str">
        <f>IFERROR(__xludf.DUMMYFUNCTION("IFERROR(INDEX(IMPORTRANGE(""1wF8uimz-gnzzmqfjHb8Ua7fudqcoq5SrFyToq2B2IO0"",""💰 Donations!A4:N200""),39,6),"""")"),"")</f>
        <v/>
      </c>
      <c r="I125" s="82" t="str">
        <f>IFERROR(__xludf.DUMMYFUNCTION("IFERROR(IF(INDEX(IMPORTRANGE(""1wF8uimz-gnzzmqfjHb8Ua7fudqcoq5SrFyToq2B2IO0"",""💰 Donations!A4:N200""),39,7)="""","""",TEXT(INDEX(IMPORTRANGE(""1wF8uimz-gnzzmqfjHb8Ua7fudqcoq5SrFyToq2B2IO0"",""💰 Donations!A4:N200""),39,7),""DD-MM-YYYY"")),"""")"),"")</f>
        <v/>
      </c>
      <c r="J125" s="83" t="str">
        <f>IFERROR(__xludf.DUMMYFUNCTION("IFERROR(INDEX(IMPORTRANGE(""1wF8uimz-gnzzmqfjHb8Ua7fudqcoq5SrFyToq2B2IO0"",""💰 Donations!A4:N200""),39,8),"""")"),"")</f>
        <v/>
      </c>
      <c r="K125" s="90" t="str">
        <f>IFERROR(__xludf.DUMMYFUNCTION("IFERROR(INDEX(IMPORTRANGE(""1wF8uimz-gnzzmqfjHb8Ua7fudqcoq5SrFyToq2B2IO0"",""💰 Donations!A4:N200""),39,11),"""")"),"")</f>
        <v/>
      </c>
      <c r="L125" s="50" t="str">
        <f>IFERROR(__xludf.DUMMYFUNCTION("IFERROR(INDEX(IMPORTRANGE(""1wF8uimz-gnzzmqfjHb8Ua7fudqcoq5SrFyToq2B2IO0"",""💰 Donations!A4:N200""),39,13),"""")"),"")</f>
        <v/>
      </c>
      <c r="M125" s="83" t="str">
        <f>IFERROR(__xludf.DUMMYFUNCTION("IFERROR(INDEX(IMPORTRANGE(""1wF8uimz-gnzzmqfjHb8Ua7fudqcoq5SrFyToq2B2IO0"",""💰 Donations!A4:N200""),39,14),"""")"),"")</f>
        <v/>
      </c>
      <c r="N125" s="82" t="str">
        <f>IFERROR(__xludf.DUMMYFUNCTION("IFERROR(IF(INDEX(IMPORTRANGE(""1wF8uimz-gnzzmqfjHb8Ua7fudqcoq5SrFyToq2B2IO0"",""💰 Donations!A4:N200""),39,10)="""","""",TEXT(INDEX(IMPORTRANGE(""1wF8uimz-gnzzmqfjHb8Ua7fudqcoq5SrFyToq2B2IO0"",""💰 Donations!A4:N200""),39,10),""DD-MM-YYYY"")),"""")"),"")</f>
        <v/>
      </c>
    </row>
    <row r="126" ht="18.0" customHeight="1">
      <c r="A126" s="22" t="str">
        <f>IFERROR(__xludf.DUMMYFUNCTION("IFERROR(INDEX(IMPORTRANGE(""1wF8uimz-gnzzmqfjHb8Ua7fudqcoq5SrFyToq2B2IO0"",""💰 Donations!A4:N200""),40,1),"""")"),"")</f>
        <v/>
      </c>
      <c r="B126" s="91" t="str">
        <f>IFERROR(__xludf.DUMMYFUNCTION("IFERROR(INDEX(IMPORTRANGE(""1wF8uimz-gnzzmqfjHb8Ua7fudqcoq5SrFyToq2B2IO0"",""💰 Donations!A4:N200""),40,2),"""")"),"")</f>
        <v/>
      </c>
      <c r="C126" s="3"/>
      <c r="D126" s="23">
        <f>IFERROR(__xludf.DUMMYFUNCTION("IFERROR(IFERROR(INDEX(IMPORTRANGE(""1wF8uimz-gnzzmqfjHb8Ua7fudqcoq5SrFyToq2B2IO0"",""💰 Donations!A4:N200""),40,3)*1,0),0)"),0.0)</f>
        <v>0</v>
      </c>
      <c r="E126" s="40">
        <f>IFERROR(__xludf.DUMMYFUNCTION("IFERROR(IFERROR(INDEX(IMPORTRANGE(""1wF8uimz-gnzzmqfjHb8Ua7fudqcoq5SrFyToq2B2IO0"",""💰 Donations!A4:N200""),40,4)*1,0),0)"),0.0)</f>
        <v>0</v>
      </c>
      <c r="F126" s="24">
        <f t="shared" si="5"/>
        <v>0</v>
      </c>
      <c r="G126" s="92" t="str">
        <f t="shared" si="6"/>
        <v/>
      </c>
      <c r="H126" s="54" t="str">
        <f>IFERROR(__xludf.DUMMYFUNCTION("IFERROR(INDEX(IMPORTRANGE(""1wF8uimz-gnzzmqfjHb8Ua7fudqcoq5SrFyToq2B2IO0"",""💰 Donations!A4:N200""),40,6),"""")"),"")</f>
        <v/>
      </c>
      <c r="I126" s="85" t="str">
        <f>IFERROR(__xludf.DUMMYFUNCTION("IFERROR(IF(INDEX(IMPORTRANGE(""1wF8uimz-gnzzmqfjHb8Ua7fudqcoq5SrFyToq2B2IO0"",""💰 Donations!A4:N200""),40,7)="""","""",TEXT(INDEX(IMPORTRANGE(""1wF8uimz-gnzzmqfjHb8Ua7fudqcoq5SrFyToq2B2IO0"",""💰 Donations!A4:N200""),40,7),""DD-MM-YYYY"")),"""")"),"")</f>
        <v/>
      </c>
      <c r="J126" s="86" t="str">
        <f>IFERROR(__xludf.DUMMYFUNCTION("IFERROR(INDEX(IMPORTRANGE(""1wF8uimz-gnzzmqfjHb8Ua7fudqcoq5SrFyToq2B2IO0"",""💰 Donations!A4:N200""),40,8),"""")"),"")</f>
        <v/>
      </c>
      <c r="K126" s="93" t="str">
        <f>IFERROR(__xludf.DUMMYFUNCTION("IFERROR(INDEX(IMPORTRANGE(""1wF8uimz-gnzzmqfjHb8Ua7fudqcoq5SrFyToq2B2IO0"",""💰 Donations!A4:N200""),40,11),"""")"),"")</f>
        <v/>
      </c>
      <c r="L126" s="54" t="str">
        <f>IFERROR(__xludf.DUMMYFUNCTION("IFERROR(INDEX(IMPORTRANGE(""1wF8uimz-gnzzmqfjHb8Ua7fudqcoq5SrFyToq2B2IO0"",""💰 Donations!A4:N200""),40,13),"""")"),"")</f>
        <v/>
      </c>
      <c r="M126" s="86" t="str">
        <f>IFERROR(__xludf.DUMMYFUNCTION("IFERROR(INDEX(IMPORTRANGE(""1wF8uimz-gnzzmqfjHb8Ua7fudqcoq5SrFyToq2B2IO0"",""💰 Donations!A4:N200""),40,14),"""")"),"")</f>
        <v/>
      </c>
      <c r="N126" s="85" t="str">
        <f>IFERROR(__xludf.DUMMYFUNCTION("IFERROR(IF(INDEX(IMPORTRANGE(""1wF8uimz-gnzzmqfjHb8Ua7fudqcoq5SrFyToq2B2IO0"",""💰 Donations!A4:N200""),40,10)="""","""",TEXT(INDEX(IMPORTRANGE(""1wF8uimz-gnzzmqfjHb8Ua7fudqcoq5SrFyToq2B2IO0"",""💰 Donations!A4:N200""),40,10),""DD-MM-YYYY"")),"""")"),"")</f>
        <v/>
      </c>
    </row>
    <row r="127" ht="18.0" customHeight="1">
      <c r="A127" s="19" t="str">
        <f>IFERROR(__xludf.DUMMYFUNCTION("IFERROR(INDEX(IMPORTRANGE(""1wF8uimz-gnzzmqfjHb8Ua7fudqcoq5SrFyToq2B2IO0"",""💰 Donations!A4:N200""),41,1),"""")"),"")</f>
        <v/>
      </c>
      <c r="B127" s="88" t="str">
        <f>IFERROR(__xludf.DUMMYFUNCTION("IFERROR(INDEX(IMPORTRANGE(""1wF8uimz-gnzzmqfjHb8Ua7fudqcoq5SrFyToq2B2IO0"",""💰 Donations!A4:N200""),41,2),"""")"),"")</f>
        <v/>
      </c>
      <c r="C127" s="3"/>
      <c r="D127" s="20">
        <f>IFERROR(__xludf.DUMMYFUNCTION("IFERROR(IFERROR(INDEX(IMPORTRANGE(""1wF8uimz-gnzzmqfjHb8Ua7fudqcoq5SrFyToq2B2IO0"",""💰 Donations!A4:N200""),41,3)*1,0),0)"),0.0)</f>
        <v>0</v>
      </c>
      <c r="E127" s="39">
        <f>IFERROR(__xludf.DUMMYFUNCTION("IFERROR(IFERROR(INDEX(IMPORTRANGE(""1wF8uimz-gnzzmqfjHb8Ua7fudqcoq5SrFyToq2B2IO0"",""💰 Donations!A4:N200""),41,4)*1,0),0)"),0.0)</f>
        <v>0</v>
      </c>
      <c r="F127" s="21">
        <f t="shared" si="5"/>
        <v>0</v>
      </c>
      <c r="G127" s="89" t="str">
        <f t="shared" si="6"/>
        <v/>
      </c>
      <c r="H127" s="50" t="str">
        <f>IFERROR(__xludf.DUMMYFUNCTION("IFERROR(INDEX(IMPORTRANGE(""1wF8uimz-gnzzmqfjHb8Ua7fudqcoq5SrFyToq2B2IO0"",""💰 Donations!A4:N200""),41,6),"""")"),"")</f>
        <v/>
      </c>
      <c r="I127" s="82" t="str">
        <f>IFERROR(__xludf.DUMMYFUNCTION("IFERROR(IF(INDEX(IMPORTRANGE(""1wF8uimz-gnzzmqfjHb8Ua7fudqcoq5SrFyToq2B2IO0"",""💰 Donations!A4:N200""),41,7)="""","""",TEXT(INDEX(IMPORTRANGE(""1wF8uimz-gnzzmqfjHb8Ua7fudqcoq5SrFyToq2B2IO0"",""💰 Donations!A4:N200""),41,7),""DD-MM-YYYY"")),"""")"),"")</f>
        <v/>
      </c>
      <c r="J127" s="83" t="str">
        <f>IFERROR(__xludf.DUMMYFUNCTION("IFERROR(INDEX(IMPORTRANGE(""1wF8uimz-gnzzmqfjHb8Ua7fudqcoq5SrFyToq2B2IO0"",""💰 Donations!A4:N200""),41,8),"""")"),"")</f>
        <v/>
      </c>
      <c r="K127" s="90" t="str">
        <f>IFERROR(__xludf.DUMMYFUNCTION("IFERROR(INDEX(IMPORTRANGE(""1wF8uimz-gnzzmqfjHb8Ua7fudqcoq5SrFyToq2B2IO0"",""💰 Donations!A4:N200""),41,11),"""")"),"")</f>
        <v/>
      </c>
      <c r="L127" s="50" t="str">
        <f>IFERROR(__xludf.DUMMYFUNCTION("IFERROR(INDEX(IMPORTRANGE(""1wF8uimz-gnzzmqfjHb8Ua7fudqcoq5SrFyToq2B2IO0"",""💰 Donations!A4:N200""),41,13),"""")"),"")</f>
        <v/>
      </c>
      <c r="M127" s="83" t="str">
        <f>IFERROR(__xludf.DUMMYFUNCTION("IFERROR(INDEX(IMPORTRANGE(""1wF8uimz-gnzzmqfjHb8Ua7fudqcoq5SrFyToq2B2IO0"",""💰 Donations!A4:N200""),41,14),"""")"),"")</f>
        <v/>
      </c>
      <c r="N127" s="82" t="str">
        <f>IFERROR(__xludf.DUMMYFUNCTION("IFERROR(IF(INDEX(IMPORTRANGE(""1wF8uimz-gnzzmqfjHb8Ua7fudqcoq5SrFyToq2B2IO0"",""💰 Donations!A4:N200""),41,10)="""","""",TEXT(INDEX(IMPORTRANGE(""1wF8uimz-gnzzmqfjHb8Ua7fudqcoq5SrFyToq2B2IO0"",""💰 Donations!A4:N200""),41,10),""DD-MM-YYYY"")),"""")"),"")</f>
        <v/>
      </c>
    </row>
    <row r="128" ht="18.0" customHeight="1">
      <c r="A128" s="22" t="str">
        <f>IFERROR(__xludf.DUMMYFUNCTION("IFERROR(INDEX(IMPORTRANGE(""1wF8uimz-gnzzmqfjHb8Ua7fudqcoq5SrFyToq2B2IO0"",""💰 Donations!A4:N200""),42,1),"""")"),"")</f>
        <v/>
      </c>
      <c r="B128" s="91" t="str">
        <f>IFERROR(__xludf.DUMMYFUNCTION("IFERROR(INDEX(IMPORTRANGE(""1wF8uimz-gnzzmqfjHb8Ua7fudqcoq5SrFyToq2B2IO0"",""💰 Donations!A4:N200""),42,2),"""")"),"")</f>
        <v/>
      </c>
      <c r="C128" s="3"/>
      <c r="D128" s="23">
        <f>IFERROR(__xludf.DUMMYFUNCTION("IFERROR(IFERROR(INDEX(IMPORTRANGE(""1wF8uimz-gnzzmqfjHb8Ua7fudqcoq5SrFyToq2B2IO0"",""💰 Donations!A4:N200""),42,3)*1,0),0)"),0.0)</f>
        <v>0</v>
      </c>
      <c r="E128" s="40">
        <f>IFERROR(__xludf.DUMMYFUNCTION("IFERROR(IFERROR(INDEX(IMPORTRANGE(""1wF8uimz-gnzzmqfjHb8Ua7fudqcoq5SrFyToq2B2IO0"",""💰 Donations!A4:N200""),42,4)*1,0),0)"),0.0)</f>
        <v>0</v>
      </c>
      <c r="F128" s="24">
        <f t="shared" si="5"/>
        <v>0</v>
      </c>
      <c r="G128" s="92" t="str">
        <f t="shared" si="6"/>
        <v/>
      </c>
      <c r="H128" s="54" t="str">
        <f>IFERROR(__xludf.DUMMYFUNCTION("IFERROR(INDEX(IMPORTRANGE(""1wF8uimz-gnzzmqfjHb8Ua7fudqcoq5SrFyToq2B2IO0"",""💰 Donations!A4:N200""),42,6),"""")"),"")</f>
        <v/>
      </c>
      <c r="I128" s="85" t="str">
        <f>IFERROR(__xludf.DUMMYFUNCTION("IFERROR(IF(INDEX(IMPORTRANGE(""1wF8uimz-gnzzmqfjHb8Ua7fudqcoq5SrFyToq2B2IO0"",""💰 Donations!A4:N200""),42,7)="""","""",TEXT(INDEX(IMPORTRANGE(""1wF8uimz-gnzzmqfjHb8Ua7fudqcoq5SrFyToq2B2IO0"",""💰 Donations!A4:N200""),42,7),""DD-MM-YYYY"")),"""")"),"")</f>
        <v/>
      </c>
      <c r="J128" s="86" t="str">
        <f>IFERROR(__xludf.DUMMYFUNCTION("IFERROR(INDEX(IMPORTRANGE(""1wF8uimz-gnzzmqfjHb8Ua7fudqcoq5SrFyToq2B2IO0"",""💰 Donations!A4:N200""),42,8),"""")"),"")</f>
        <v/>
      </c>
      <c r="K128" s="93" t="str">
        <f>IFERROR(__xludf.DUMMYFUNCTION("IFERROR(INDEX(IMPORTRANGE(""1wF8uimz-gnzzmqfjHb8Ua7fudqcoq5SrFyToq2B2IO0"",""💰 Donations!A4:N200""),42,11),"""")"),"")</f>
        <v/>
      </c>
      <c r="L128" s="54" t="str">
        <f>IFERROR(__xludf.DUMMYFUNCTION("IFERROR(INDEX(IMPORTRANGE(""1wF8uimz-gnzzmqfjHb8Ua7fudqcoq5SrFyToq2B2IO0"",""💰 Donations!A4:N200""),42,13),"""")"),"")</f>
        <v/>
      </c>
      <c r="M128" s="86" t="str">
        <f>IFERROR(__xludf.DUMMYFUNCTION("IFERROR(INDEX(IMPORTRANGE(""1wF8uimz-gnzzmqfjHb8Ua7fudqcoq5SrFyToq2B2IO0"",""💰 Donations!A4:N200""),42,14),"""")"),"")</f>
        <v/>
      </c>
      <c r="N128" s="85" t="str">
        <f>IFERROR(__xludf.DUMMYFUNCTION("IFERROR(IF(INDEX(IMPORTRANGE(""1wF8uimz-gnzzmqfjHb8Ua7fudqcoq5SrFyToq2B2IO0"",""💰 Donations!A4:N200""),42,10)="""","""",TEXT(INDEX(IMPORTRANGE(""1wF8uimz-gnzzmqfjHb8Ua7fudqcoq5SrFyToq2B2IO0"",""💰 Donations!A4:N200""),42,10),""DD-MM-YYYY"")),"""")"),"")</f>
        <v/>
      </c>
    </row>
    <row r="129" ht="18.0" customHeight="1">
      <c r="A129" s="19" t="str">
        <f>IFERROR(__xludf.DUMMYFUNCTION("IFERROR(INDEX(IMPORTRANGE(""1wF8uimz-gnzzmqfjHb8Ua7fudqcoq5SrFyToq2B2IO0"",""💰 Donations!A4:N200""),43,1),"""")"),"")</f>
        <v/>
      </c>
      <c r="B129" s="88" t="str">
        <f>IFERROR(__xludf.DUMMYFUNCTION("IFERROR(INDEX(IMPORTRANGE(""1wF8uimz-gnzzmqfjHb8Ua7fudqcoq5SrFyToq2B2IO0"",""💰 Donations!A4:N200""),43,2),"""")"),"")</f>
        <v/>
      </c>
      <c r="C129" s="3"/>
      <c r="D129" s="20">
        <f>IFERROR(__xludf.DUMMYFUNCTION("IFERROR(IFERROR(INDEX(IMPORTRANGE(""1wF8uimz-gnzzmqfjHb8Ua7fudqcoq5SrFyToq2B2IO0"",""💰 Donations!A4:N200""),43,3)*1,0),0)"),0.0)</f>
        <v>0</v>
      </c>
      <c r="E129" s="39">
        <f>IFERROR(__xludf.DUMMYFUNCTION("IFERROR(IFERROR(INDEX(IMPORTRANGE(""1wF8uimz-gnzzmqfjHb8Ua7fudqcoq5SrFyToq2B2IO0"",""💰 Donations!A4:N200""),43,4)*1,0),0)"),0.0)</f>
        <v>0</v>
      </c>
      <c r="F129" s="21">
        <f t="shared" si="5"/>
        <v>0</v>
      </c>
      <c r="G129" s="89" t="str">
        <f t="shared" si="6"/>
        <v/>
      </c>
      <c r="H129" s="50" t="str">
        <f>IFERROR(__xludf.DUMMYFUNCTION("IFERROR(INDEX(IMPORTRANGE(""1wF8uimz-gnzzmqfjHb8Ua7fudqcoq5SrFyToq2B2IO0"",""💰 Donations!A4:N200""),43,6),"""")"),"")</f>
        <v/>
      </c>
      <c r="I129" s="82" t="str">
        <f>IFERROR(__xludf.DUMMYFUNCTION("IFERROR(IF(INDEX(IMPORTRANGE(""1wF8uimz-gnzzmqfjHb8Ua7fudqcoq5SrFyToq2B2IO0"",""💰 Donations!A4:N200""),43,7)="""","""",TEXT(INDEX(IMPORTRANGE(""1wF8uimz-gnzzmqfjHb8Ua7fudqcoq5SrFyToq2B2IO0"",""💰 Donations!A4:N200""),43,7),""DD-MM-YYYY"")),"""")"),"")</f>
        <v/>
      </c>
      <c r="J129" s="83" t="str">
        <f>IFERROR(__xludf.DUMMYFUNCTION("IFERROR(INDEX(IMPORTRANGE(""1wF8uimz-gnzzmqfjHb8Ua7fudqcoq5SrFyToq2B2IO0"",""💰 Donations!A4:N200""),43,8),"""")"),"")</f>
        <v/>
      </c>
      <c r="K129" s="90" t="str">
        <f>IFERROR(__xludf.DUMMYFUNCTION("IFERROR(INDEX(IMPORTRANGE(""1wF8uimz-gnzzmqfjHb8Ua7fudqcoq5SrFyToq2B2IO0"",""💰 Donations!A4:N200""),43,11),"""")"),"")</f>
        <v/>
      </c>
      <c r="L129" s="50" t="str">
        <f>IFERROR(__xludf.DUMMYFUNCTION("IFERROR(INDEX(IMPORTRANGE(""1wF8uimz-gnzzmqfjHb8Ua7fudqcoq5SrFyToq2B2IO0"",""💰 Donations!A4:N200""),43,13),"""")"),"")</f>
        <v/>
      </c>
      <c r="M129" s="83" t="str">
        <f>IFERROR(__xludf.DUMMYFUNCTION("IFERROR(INDEX(IMPORTRANGE(""1wF8uimz-gnzzmqfjHb8Ua7fudqcoq5SrFyToq2B2IO0"",""💰 Donations!A4:N200""),43,14),"""")"),"")</f>
        <v/>
      </c>
      <c r="N129" s="82" t="str">
        <f>IFERROR(__xludf.DUMMYFUNCTION("IFERROR(IF(INDEX(IMPORTRANGE(""1wF8uimz-gnzzmqfjHb8Ua7fudqcoq5SrFyToq2B2IO0"",""💰 Donations!A4:N200""),43,10)="""","""",TEXT(INDEX(IMPORTRANGE(""1wF8uimz-gnzzmqfjHb8Ua7fudqcoq5SrFyToq2B2IO0"",""💰 Donations!A4:N200""),43,10),""DD-MM-YYYY"")),"""")"),"")</f>
        <v/>
      </c>
    </row>
    <row r="130" ht="18.0" customHeight="1">
      <c r="A130" s="22" t="str">
        <f>IFERROR(__xludf.DUMMYFUNCTION("IFERROR(INDEX(IMPORTRANGE(""1wF8uimz-gnzzmqfjHb8Ua7fudqcoq5SrFyToq2B2IO0"",""💰 Donations!A4:N200""),44,1),"""")"),"")</f>
        <v/>
      </c>
      <c r="B130" s="91" t="str">
        <f>IFERROR(__xludf.DUMMYFUNCTION("IFERROR(INDEX(IMPORTRANGE(""1wF8uimz-gnzzmqfjHb8Ua7fudqcoq5SrFyToq2B2IO0"",""💰 Donations!A4:N200""),44,2),"""")"),"")</f>
        <v/>
      </c>
      <c r="C130" s="3"/>
      <c r="D130" s="23">
        <f>IFERROR(__xludf.DUMMYFUNCTION("IFERROR(IFERROR(INDEX(IMPORTRANGE(""1wF8uimz-gnzzmqfjHb8Ua7fudqcoq5SrFyToq2B2IO0"",""💰 Donations!A4:N200""),44,3)*1,0),0)"),0.0)</f>
        <v>0</v>
      </c>
      <c r="E130" s="40">
        <f>IFERROR(__xludf.DUMMYFUNCTION("IFERROR(IFERROR(INDEX(IMPORTRANGE(""1wF8uimz-gnzzmqfjHb8Ua7fudqcoq5SrFyToq2B2IO0"",""💰 Donations!A4:N200""),44,4)*1,0),0)"),0.0)</f>
        <v>0</v>
      </c>
      <c r="F130" s="24">
        <f t="shared" si="5"/>
        <v>0</v>
      </c>
      <c r="G130" s="92" t="str">
        <f t="shared" si="6"/>
        <v/>
      </c>
      <c r="H130" s="54" t="str">
        <f>IFERROR(__xludf.DUMMYFUNCTION("IFERROR(INDEX(IMPORTRANGE(""1wF8uimz-gnzzmqfjHb8Ua7fudqcoq5SrFyToq2B2IO0"",""💰 Donations!A4:N200""),44,6),"""")"),"")</f>
        <v/>
      </c>
      <c r="I130" s="85" t="str">
        <f>IFERROR(__xludf.DUMMYFUNCTION("IFERROR(IF(INDEX(IMPORTRANGE(""1wF8uimz-gnzzmqfjHb8Ua7fudqcoq5SrFyToq2B2IO0"",""💰 Donations!A4:N200""),44,7)="""","""",TEXT(INDEX(IMPORTRANGE(""1wF8uimz-gnzzmqfjHb8Ua7fudqcoq5SrFyToq2B2IO0"",""💰 Donations!A4:N200""),44,7),""DD-MM-YYYY"")),"""")"),"")</f>
        <v/>
      </c>
      <c r="J130" s="86" t="str">
        <f>IFERROR(__xludf.DUMMYFUNCTION("IFERROR(INDEX(IMPORTRANGE(""1wF8uimz-gnzzmqfjHb8Ua7fudqcoq5SrFyToq2B2IO0"",""💰 Donations!A4:N200""),44,8),"""")"),"")</f>
        <v/>
      </c>
      <c r="K130" s="93" t="str">
        <f>IFERROR(__xludf.DUMMYFUNCTION("IFERROR(INDEX(IMPORTRANGE(""1wF8uimz-gnzzmqfjHb8Ua7fudqcoq5SrFyToq2B2IO0"",""💰 Donations!A4:N200""),44,11),"""")"),"")</f>
        <v/>
      </c>
      <c r="L130" s="54" t="str">
        <f>IFERROR(__xludf.DUMMYFUNCTION("IFERROR(INDEX(IMPORTRANGE(""1wF8uimz-gnzzmqfjHb8Ua7fudqcoq5SrFyToq2B2IO0"",""💰 Donations!A4:N200""),44,13),"""")"),"")</f>
        <v/>
      </c>
      <c r="M130" s="86" t="str">
        <f>IFERROR(__xludf.DUMMYFUNCTION("IFERROR(INDEX(IMPORTRANGE(""1wF8uimz-gnzzmqfjHb8Ua7fudqcoq5SrFyToq2B2IO0"",""💰 Donations!A4:N200""),44,14),"""")"),"")</f>
        <v/>
      </c>
      <c r="N130" s="85" t="str">
        <f>IFERROR(__xludf.DUMMYFUNCTION("IFERROR(IF(INDEX(IMPORTRANGE(""1wF8uimz-gnzzmqfjHb8Ua7fudqcoq5SrFyToq2B2IO0"",""💰 Donations!A4:N200""),44,10)="""","""",TEXT(INDEX(IMPORTRANGE(""1wF8uimz-gnzzmqfjHb8Ua7fudqcoq5SrFyToq2B2IO0"",""💰 Donations!A4:N200""),44,10),""DD-MM-YYYY"")),"""")"),"")</f>
        <v/>
      </c>
    </row>
    <row r="131" ht="18.0" customHeight="1">
      <c r="A131" s="19" t="str">
        <f>IFERROR(__xludf.DUMMYFUNCTION("IFERROR(INDEX(IMPORTRANGE(""1wF8uimz-gnzzmqfjHb8Ua7fudqcoq5SrFyToq2B2IO0"",""💰 Donations!A4:N200""),45,1),"""")"),"")</f>
        <v/>
      </c>
      <c r="B131" s="88" t="str">
        <f>IFERROR(__xludf.DUMMYFUNCTION("IFERROR(INDEX(IMPORTRANGE(""1wF8uimz-gnzzmqfjHb8Ua7fudqcoq5SrFyToq2B2IO0"",""💰 Donations!A4:N200""),45,2),"""")"),"")</f>
        <v/>
      </c>
      <c r="C131" s="3"/>
      <c r="D131" s="20">
        <f>IFERROR(__xludf.DUMMYFUNCTION("IFERROR(IFERROR(INDEX(IMPORTRANGE(""1wF8uimz-gnzzmqfjHb8Ua7fudqcoq5SrFyToq2B2IO0"",""💰 Donations!A4:N200""),45,3)*1,0),0)"),0.0)</f>
        <v>0</v>
      </c>
      <c r="E131" s="39">
        <f>IFERROR(__xludf.DUMMYFUNCTION("IFERROR(IFERROR(INDEX(IMPORTRANGE(""1wF8uimz-gnzzmqfjHb8Ua7fudqcoq5SrFyToq2B2IO0"",""💰 Donations!A4:N200""),45,4)*1,0),0)"),0.0)</f>
        <v>0</v>
      </c>
      <c r="F131" s="21">
        <f t="shared" si="5"/>
        <v>0</v>
      </c>
      <c r="G131" s="89" t="str">
        <f t="shared" si="6"/>
        <v/>
      </c>
      <c r="H131" s="50" t="str">
        <f>IFERROR(__xludf.DUMMYFUNCTION("IFERROR(INDEX(IMPORTRANGE(""1wF8uimz-gnzzmqfjHb8Ua7fudqcoq5SrFyToq2B2IO0"",""💰 Donations!A4:N200""),45,6),"""")"),"")</f>
        <v/>
      </c>
      <c r="I131" s="82" t="str">
        <f>IFERROR(__xludf.DUMMYFUNCTION("IFERROR(IF(INDEX(IMPORTRANGE(""1wF8uimz-gnzzmqfjHb8Ua7fudqcoq5SrFyToq2B2IO0"",""💰 Donations!A4:N200""),45,7)="""","""",TEXT(INDEX(IMPORTRANGE(""1wF8uimz-gnzzmqfjHb8Ua7fudqcoq5SrFyToq2B2IO0"",""💰 Donations!A4:N200""),45,7),""DD-MM-YYYY"")),"""")"),"")</f>
        <v/>
      </c>
      <c r="J131" s="83" t="str">
        <f>IFERROR(__xludf.DUMMYFUNCTION("IFERROR(INDEX(IMPORTRANGE(""1wF8uimz-gnzzmqfjHb8Ua7fudqcoq5SrFyToq2B2IO0"",""💰 Donations!A4:N200""),45,8),"""")"),"")</f>
        <v/>
      </c>
      <c r="K131" s="90" t="str">
        <f>IFERROR(__xludf.DUMMYFUNCTION("IFERROR(INDEX(IMPORTRANGE(""1wF8uimz-gnzzmqfjHb8Ua7fudqcoq5SrFyToq2B2IO0"",""💰 Donations!A4:N200""),45,11),"""")"),"")</f>
        <v/>
      </c>
      <c r="L131" s="50" t="str">
        <f>IFERROR(__xludf.DUMMYFUNCTION("IFERROR(INDEX(IMPORTRANGE(""1wF8uimz-gnzzmqfjHb8Ua7fudqcoq5SrFyToq2B2IO0"",""💰 Donations!A4:N200""),45,13),"""")"),"")</f>
        <v/>
      </c>
      <c r="M131" s="83" t="str">
        <f>IFERROR(__xludf.DUMMYFUNCTION("IFERROR(INDEX(IMPORTRANGE(""1wF8uimz-gnzzmqfjHb8Ua7fudqcoq5SrFyToq2B2IO0"",""💰 Donations!A4:N200""),45,14),"""")"),"")</f>
        <v/>
      </c>
      <c r="N131" s="82" t="str">
        <f>IFERROR(__xludf.DUMMYFUNCTION("IFERROR(IF(INDEX(IMPORTRANGE(""1wF8uimz-gnzzmqfjHb8Ua7fudqcoq5SrFyToq2B2IO0"",""💰 Donations!A4:N200""),45,10)="""","""",TEXT(INDEX(IMPORTRANGE(""1wF8uimz-gnzzmqfjHb8Ua7fudqcoq5SrFyToq2B2IO0"",""💰 Donations!A4:N200""),45,10),""DD-MM-YYYY"")),"""")"),"")</f>
        <v/>
      </c>
    </row>
    <row r="132" ht="18.0" customHeight="1">
      <c r="A132" s="22" t="str">
        <f>IFERROR(__xludf.DUMMYFUNCTION("IFERROR(INDEX(IMPORTRANGE(""1wF8uimz-gnzzmqfjHb8Ua7fudqcoq5SrFyToq2B2IO0"",""💰 Donations!A4:N200""),46,1),"""")"),"")</f>
        <v/>
      </c>
      <c r="B132" s="91" t="str">
        <f>IFERROR(__xludf.DUMMYFUNCTION("IFERROR(INDEX(IMPORTRANGE(""1wF8uimz-gnzzmqfjHb8Ua7fudqcoq5SrFyToq2B2IO0"",""💰 Donations!A4:N200""),46,2),"""")"),"")</f>
        <v/>
      </c>
      <c r="C132" s="3"/>
      <c r="D132" s="23">
        <f>IFERROR(__xludf.DUMMYFUNCTION("IFERROR(IFERROR(INDEX(IMPORTRANGE(""1wF8uimz-gnzzmqfjHb8Ua7fudqcoq5SrFyToq2B2IO0"",""💰 Donations!A4:N200""),46,3)*1,0),0)"),0.0)</f>
        <v>0</v>
      </c>
      <c r="E132" s="40">
        <f>IFERROR(__xludf.DUMMYFUNCTION("IFERROR(IFERROR(INDEX(IMPORTRANGE(""1wF8uimz-gnzzmqfjHb8Ua7fudqcoq5SrFyToq2B2IO0"",""💰 Donations!A4:N200""),46,4)*1,0),0)"),0.0)</f>
        <v>0</v>
      </c>
      <c r="F132" s="24">
        <f t="shared" si="5"/>
        <v>0</v>
      </c>
      <c r="G132" s="92" t="str">
        <f t="shared" si="6"/>
        <v/>
      </c>
      <c r="H132" s="54" t="str">
        <f>IFERROR(__xludf.DUMMYFUNCTION("IFERROR(INDEX(IMPORTRANGE(""1wF8uimz-gnzzmqfjHb8Ua7fudqcoq5SrFyToq2B2IO0"",""💰 Donations!A4:N200""),46,6),"""")"),"")</f>
        <v/>
      </c>
      <c r="I132" s="85" t="str">
        <f>IFERROR(__xludf.DUMMYFUNCTION("IFERROR(IF(INDEX(IMPORTRANGE(""1wF8uimz-gnzzmqfjHb8Ua7fudqcoq5SrFyToq2B2IO0"",""💰 Donations!A4:N200""),46,7)="""","""",TEXT(INDEX(IMPORTRANGE(""1wF8uimz-gnzzmqfjHb8Ua7fudqcoq5SrFyToq2B2IO0"",""💰 Donations!A4:N200""),46,7),""DD-MM-YYYY"")),"""")"),"")</f>
        <v/>
      </c>
      <c r="J132" s="86" t="str">
        <f>IFERROR(__xludf.DUMMYFUNCTION("IFERROR(INDEX(IMPORTRANGE(""1wF8uimz-gnzzmqfjHb8Ua7fudqcoq5SrFyToq2B2IO0"",""💰 Donations!A4:N200""),46,8),"""")"),"")</f>
        <v/>
      </c>
      <c r="K132" s="93" t="str">
        <f>IFERROR(__xludf.DUMMYFUNCTION("IFERROR(INDEX(IMPORTRANGE(""1wF8uimz-gnzzmqfjHb8Ua7fudqcoq5SrFyToq2B2IO0"",""💰 Donations!A4:N200""),46,11),"""")"),"")</f>
        <v/>
      </c>
      <c r="L132" s="54" t="str">
        <f>IFERROR(__xludf.DUMMYFUNCTION("IFERROR(INDEX(IMPORTRANGE(""1wF8uimz-gnzzmqfjHb8Ua7fudqcoq5SrFyToq2B2IO0"",""💰 Donations!A4:N200""),46,13),"""")"),"")</f>
        <v/>
      </c>
      <c r="M132" s="86" t="str">
        <f>IFERROR(__xludf.DUMMYFUNCTION("IFERROR(INDEX(IMPORTRANGE(""1wF8uimz-gnzzmqfjHb8Ua7fudqcoq5SrFyToq2B2IO0"",""💰 Donations!A4:N200""),46,14),"""")"),"")</f>
        <v/>
      </c>
      <c r="N132" s="85" t="str">
        <f>IFERROR(__xludf.DUMMYFUNCTION("IFERROR(IF(INDEX(IMPORTRANGE(""1wF8uimz-gnzzmqfjHb8Ua7fudqcoq5SrFyToq2B2IO0"",""💰 Donations!A4:N200""),46,10)="""","""",TEXT(INDEX(IMPORTRANGE(""1wF8uimz-gnzzmqfjHb8Ua7fudqcoq5SrFyToq2B2IO0"",""💰 Donations!A4:N200""),46,10),""DD-MM-YYYY"")),"""")"),"")</f>
        <v/>
      </c>
    </row>
    <row r="133" ht="18.0" customHeight="1">
      <c r="A133" s="19" t="str">
        <f>IFERROR(__xludf.DUMMYFUNCTION("IFERROR(INDEX(IMPORTRANGE(""1wF8uimz-gnzzmqfjHb8Ua7fudqcoq5SrFyToq2B2IO0"",""💰 Donations!A4:N200""),47,1),"""")"),"")</f>
        <v/>
      </c>
      <c r="B133" s="88" t="str">
        <f>IFERROR(__xludf.DUMMYFUNCTION("IFERROR(INDEX(IMPORTRANGE(""1wF8uimz-gnzzmqfjHb8Ua7fudqcoq5SrFyToq2B2IO0"",""💰 Donations!A4:N200""),47,2),"""")"),"")</f>
        <v/>
      </c>
      <c r="C133" s="3"/>
      <c r="D133" s="20">
        <f>IFERROR(__xludf.DUMMYFUNCTION("IFERROR(IFERROR(INDEX(IMPORTRANGE(""1wF8uimz-gnzzmqfjHb8Ua7fudqcoq5SrFyToq2B2IO0"",""💰 Donations!A4:N200""),47,3)*1,0),0)"),0.0)</f>
        <v>0</v>
      </c>
      <c r="E133" s="39">
        <f>IFERROR(__xludf.DUMMYFUNCTION("IFERROR(IFERROR(INDEX(IMPORTRANGE(""1wF8uimz-gnzzmqfjHb8Ua7fudqcoq5SrFyToq2B2IO0"",""💰 Donations!A4:N200""),47,4)*1,0),0)"),0.0)</f>
        <v>0</v>
      </c>
      <c r="F133" s="21">
        <f t="shared" si="5"/>
        <v>0</v>
      </c>
      <c r="G133" s="89" t="str">
        <f t="shared" si="6"/>
        <v/>
      </c>
      <c r="H133" s="50" t="str">
        <f>IFERROR(__xludf.DUMMYFUNCTION("IFERROR(INDEX(IMPORTRANGE(""1wF8uimz-gnzzmqfjHb8Ua7fudqcoq5SrFyToq2B2IO0"",""💰 Donations!A4:N200""),47,6),"""")"),"")</f>
        <v/>
      </c>
      <c r="I133" s="82" t="str">
        <f>IFERROR(__xludf.DUMMYFUNCTION("IFERROR(IF(INDEX(IMPORTRANGE(""1wF8uimz-gnzzmqfjHb8Ua7fudqcoq5SrFyToq2B2IO0"",""💰 Donations!A4:N200""),47,7)="""","""",TEXT(INDEX(IMPORTRANGE(""1wF8uimz-gnzzmqfjHb8Ua7fudqcoq5SrFyToq2B2IO0"",""💰 Donations!A4:N200""),47,7),""DD-MM-YYYY"")),"""")"),"")</f>
        <v/>
      </c>
      <c r="J133" s="83" t="str">
        <f>IFERROR(__xludf.DUMMYFUNCTION("IFERROR(INDEX(IMPORTRANGE(""1wF8uimz-gnzzmqfjHb8Ua7fudqcoq5SrFyToq2B2IO0"",""💰 Donations!A4:N200""),47,8),"""")"),"")</f>
        <v/>
      </c>
      <c r="K133" s="90" t="str">
        <f>IFERROR(__xludf.DUMMYFUNCTION("IFERROR(INDEX(IMPORTRANGE(""1wF8uimz-gnzzmqfjHb8Ua7fudqcoq5SrFyToq2B2IO0"",""💰 Donations!A4:N200""),47,11),"""")"),"")</f>
        <v/>
      </c>
      <c r="L133" s="50" t="str">
        <f>IFERROR(__xludf.DUMMYFUNCTION("IFERROR(INDEX(IMPORTRANGE(""1wF8uimz-gnzzmqfjHb8Ua7fudqcoq5SrFyToq2B2IO0"",""💰 Donations!A4:N200""),47,13),"""")"),"")</f>
        <v/>
      </c>
      <c r="M133" s="83" t="str">
        <f>IFERROR(__xludf.DUMMYFUNCTION("IFERROR(INDEX(IMPORTRANGE(""1wF8uimz-gnzzmqfjHb8Ua7fudqcoq5SrFyToq2B2IO0"",""💰 Donations!A4:N200""),47,14),"""")"),"")</f>
        <v/>
      </c>
      <c r="N133" s="82" t="str">
        <f>IFERROR(__xludf.DUMMYFUNCTION("IFERROR(IF(INDEX(IMPORTRANGE(""1wF8uimz-gnzzmqfjHb8Ua7fudqcoq5SrFyToq2B2IO0"",""💰 Donations!A4:N200""),47,10)="""","""",TEXT(INDEX(IMPORTRANGE(""1wF8uimz-gnzzmqfjHb8Ua7fudqcoq5SrFyToq2B2IO0"",""💰 Donations!A4:N200""),47,10),""DD-MM-YYYY"")),"""")"),"")</f>
        <v/>
      </c>
    </row>
    <row r="134" ht="18.0" customHeight="1">
      <c r="A134" s="22" t="str">
        <f>IFERROR(__xludf.DUMMYFUNCTION("IFERROR(INDEX(IMPORTRANGE(""1wF8uimz-gnzzmqfjHb8Ua7fudqcoq5SrFyToq2B2IO0"",""💰 Donations!A4:N200""),48,1),"""")"),"")</f>
        <v/>
      </c>
      <c r="B134" s="91" t="str">
        <f>IFERROR(__xludf.DUMMYFUNCTION("IFERROR(INDEX(IMPORTRANGE(""1wF8uimz-gnzzmqfjHb8Ua7fudqcoq5SrFyToq2B2IO0"",""💰 Donations!A4:N200""),48,2),"""")"),"")</f>
        <v/>
      </c>
      <c r="C134" s="3"/>
      <c r="D134" s="23">
        <f>IFERROR(__xludf.DUMMYFUNCTION("IFERROR(IFERROR(INDEX(IMPORTRANGE(""1wF8uimz-gnzzmqfjHb8Ua7fudqcoq5SrFyToq2B2IO0"",""💰 Donations!A4:N200""),48,3)*1,0),0)"),0.0)</f>
        <v>0</v>
      </c>
      <c r="E134" s="40">
        <f>IFERROR(__xludf.DUMMYFUNCTION("IFERROR(IFERROR(INDEX(IMPORTRANGE(""1wF8uimz-gnzzmqfjHb8Ua7fudqcoq5SrFyToq2B2IO0"",""💰 Donations!A4:N200""),48,4)*1,0),0)"),0.0)</f>
        <v>0</v>
      </c>
      <c r="F134" s="24">
        <f t="shared" si="5"/>
        <v>0</v>
      </c>
      <c r="G134" s="92" t="str">
        <f t="shared" si="6"/>
        <v/>
      </c>
      <c r="H134" s="54" t="str">
        <f>IFERROR(__xludf.DUMMYFUNCTION("IFERROR(INDEX(IMPORTRANGE(""1wF8uimz-gnzzmqfjHb8Ua7fudqcoq5SrFyToq2B2IO0"",""💰 Donations!A4:N200""),48,6),"""")"),"")</f>
        <v/>
      </c>
      <c r="I134" s="85" t="str">
        <f>IFERROR(__xludf.DUMMYFUNCTION("IFERROR(IF(INDEX(IMPORTRANGE(""1wF8uimz-gnzzmqfjHb8Ua7fudqcoq5SrFyToq2B2IO0"",""💰 Donations!A4:N200""),48,7)="""","""",TEXT(INDEX(IMPORTRANGE(""1wF8uimz-gnzzmqfjHb8Ua7fudqcoq5SrFyToq2B2IO0"",""💰 Donations!A4:N200""),48,7),""DD-MM-YYYY"")),"""")"),"")</f>
        <v/>
      </c>
      <c r="J134" s="86" t="str">
        <f>IFERROR(__xludf.DUMMYFUNCTION("IFERROR(INDEX(IMPORTRANGE(""1wF8uimz-gnzzmqfjHb8Ua7fudqcoq5SrFyToq2B2IO0"",""💰 Donations!A4:N200""),48,8),"""")"),"")</f>
        <v/>
      </c>
      <c r="K134" s="93" t="str">
        <f>IFERROR(__xludf.DUMMYFUNCTION("IFERROR(INDEX(IMPORTRANGE(""1wF8uimz-gnzzmqfjHb8Ua7fudqcoq5SrFyToq2B2IO0"",""💰 Donations!A4:N200""),48,11),"""")"),"")</f>
        <v/>
      </c>
      <c r="L134" s="54" t="str">
        <f>IFERROR(__xludf.DUMMYFUNCTION("IFERROR(INDEX(IMPORTRANGE(""1wF8uimz-gnzzmqfjHb8Ua7fudqcoq5SrFyToq2B2IO0"",""💰 Donations!A4:N200""),48,13),"""")"),"")</f>
        <v/>
      </c>
      <c r="M134" s="86" t="str">
        <f>IFERROR(__xludf.DUMMYFUNCTION("IFERROR(INDEX(IMPORTRANGE(""1wF8uimz-gnzzmqfjHb8Ua7fudqcoq5SrFyToq2B2IO0"",""💰 Donations!A4:N200""),48,14),"""")"),"")</f>
        <v/>
      </c>
      <c r="N134" s="85" t="str">
        <f>IFERROR(__xludf.DUMMYFUNCTION("IFERROR(IF(INDEX(IMPORTRANGE(""1wF8uimz-gnzzmqfjHb8Ua7fudqcoq5SrFyToq2B2IO0"",""💰 Donations!A4:N200""),48,10)="""","""",TEXT(INDEX(IMPORTRANGE(""1wF8uimz-gnzzmqfjHb8Ua7fudqcoq5SrFyToq2B2IO0"",""💰 Donations!A4:N200""),48,10),""DD-MM-YYYY"")),"""")"),"")</f>
        <v/>
      </c>
    </row>
    <row r="135" ht="18.0" customHeight="1">
      <c r="A135" s="19" t="str">
        <f>IFERROR(__xludf.DUMMYFUNCTION("IFERROR(INDEX(IMPORTRANGE(""1wF8uimz-gnzzmqfjHb8Ua7fudqcoq5SrFyToq2B2IO0"",""💰 Donations!A4:N200""),49,1),"""")"),"")</f>
        <v/>
      </c>
      <c r="B135" s="88" t="str">
        <f>IFERROR(__xludf.DUMMYFUNCTION("IFERROR(INDEX(IMPORTRANGE(""1wF8uimz-gnzzmqfjHb8Ua7fudqcoq5SrFyToq2B2IO0"",""💰 Donations!A4:N200""),49,2),"""")"),"")</f>
        <v/>
      </c>
      <c r="C135" s="3"/>
      <c r="D135" s="20">
        <f>IFERROR(__xludf.DUMMYFUNCTION("IFERROR(IFERROR(INDEX(IMPORTRANGE(""1wF8uimz-gnzzmqfjHb8Ua7fudqcoq5SrFyToq2B2IO0"",""💰 Donations!A4:N200""),49,3)*1,0),0)"),0.0)</f>
        <v>0</v>
      </c>
      <c r="E135" s="39">
        <f>IFERROR(__xludf.DUMMYFUNCTION("IFERROR(IFERROR(INDEX(IMPORTRANGE(""1wF8uimz-gnzzmqfjHb8Ua7fudqcoq5SrFyToq2B2IO0"",""💰 Donations!A4:N200""),49,4)*1,0),0)"),0.0)</f>
        <v>0</v>
      </c>
      <c r="F135" s="21">
        <f t="shared" si="5"/>
        <v>0</v>
      </c>
      <c r="G135" s="89" t="str">
        <f t="shared" si="6"/>
        <v/>
      </c>
      <c r="H135" s="50" t="str">
        <f>IFERROR(__xludf.DUMMYFUNCTION("IFERROR(INDEX(IMPORTRANGE(""1wF8uimz-gnzzmqfjHb8Ua7fudqcoq5SrFyToq2B2IO0"",""💰 Donations!A4:N200""),49,6),"""")"),"")</f>
        <v/>
      </c>
      <c r="I135" s="82" t="str">
        <f>IFERROR(__xludf.DUMMYFUNCTION("IFERROR(IF(INDEX(IMPORTRANGE(""1wF8uimz-gnzzmqfjHb8Ua7fudqcoq5SrFyToq2B2IO0"",""💰 Donations!A4:N200""),49,7)="""","""",TEXT(INDEX(IMPORTRANGE(""1wF8uimz-gnzzmqfjHb8Ua7fudqcoq5SrFyToq2B2IO0"",""💰 Donations!A4:N200""),49,7),""DD-MM-YYYY"")),"""")"),"")</f>
        <v/>
      </c>
      <c r="J135" s="83" t="str">
        <f>IFERROR(__xludf.DUMMYFUNCTION("IFERROR(INDEX(IMPORTRANGE(""1wF8uimz-gnzzmqfjHb8Ua7fudqcoq5SrFyToq2B2IO0"",""💰 Donations!A4:N200""),49,8),"""")"),"")</f>
        <v/>
      </c>
      <c r="K135" s="90" t="str">
        <f>IFERROR(__xludf.DUMMYFUNCTION("IFERROR(INDEX(IMPORTRANGE(""1wF8uimz-gnzzmqfjHb8Ua7fudqcoq5SrFyToq2B2IO0"",""💰 Donations!A4:N200""),49,11),"""")"),"")</f>
        <v/>
      </c>
      <c r="L135" s="50" t="str">
        <f>IFERROR(__xludf.DUMMYFUNCTION("IFERROR(INDEX(IMPORTRANGE(""1wF8uimz-gnzzmqfjHb8Ua7fudqcoq5SrFyToq2B2IO0"",""💰 Donations!A4:N200""),49,13),"""")"),"")</f>
        <v/>
      </c>
      <c r="M135" s="83" t="str">
        <f>IFERROR(__xludf.DUMMYFUNCTION("IFERROR(INDEX(IMPORTRANGE(""1wF8uimz-gnzzmqfjHb8Ua7fudqcoq5SrFyToq2B2IO0"",""💰 Donations!A4:N200""),49,14),"""")"),"")</f>
        <v/>
      </c>
      <c r="N135" s="82" t="str">
        <f>IFERROR(__xludf.DUMMYFUNCTION("IFERROR(IF(INDEX(IMPORTRANGE(""1wF8uimz-gnzzmqfjHb8Ua7fudqcoq5SrFyToq2B2IO0"",""💰 Donations!A4:N200""),49,10)="""","""",TEXT(INDEX(IMPORTRANGE(""1wF8uimz-gnzzmqfjHb8Ua7fudqcoq5SrFyToq2B2IO0"",""💰 Donations!A4:N200""),49,10),""DD-MM-YYYY"")),"""")"),"")</f>
        <v/>
      </c>
    </row>
    <row r="136" ht="18.0" customHeight="1">
      <c r="A136" s="22" t="str">
        <f>IFERROR(__xludf.DUMMYFUNCTION("IFERROR(INDEX(IMPORTRANGE(""1wF8uimz-gnzzmqfjHb8Ua7fudqcoq5SrFyToq2B2IO0"",""💰 Donations!A4:N200""),50,1),"""")"),"")</f>
        <v/>
      </c>
      <c r="B136" s="91" t="str">
        <f>IFERROR(__xludf.DUMMYFUNCTION("IFERROR(INDEX(IMPORTRANGE(""1wF8uimz-gnzzmqfjHb8Ua7fudqcoq5SrFyToq2B2IO0"",""💰 Donations!A4:N200""),50,2),"""")"),"")</f>
        <v/>
      </c>
      <c r="C136" s="3"/>
      <c r="D136" s="23">
        <f>IFERROR(__xludf.DUMMYFUNCTION("IFERROR(IFERROR(INDEX(IMPORTRANGE(""1wF8uimz-gnzzmqfjHb8Ua7fudqcoq5SrFyToq2B2IO0"",""💰 Donations!A4:N200""),50,3)*1,0),0)"),0.0)</f>
        <v>0</v>
      </c>
      <c r="E136" s="40">
        <f>IFERROR(__xludf.DUMMYFUNCTION("IFERROR(IFERROR(INDEX(IMPORTRANGE(""1wF8uimz-gnzzmqfjHb8Ua7fudqcoq5SrFyToq2B2IO0"",""💰 Donations!A4:N200""),50,4)*1,0),0)"),0.0)</f>
        <v>0</v>
      </c>
      <c r="F136" s="24">
        <f t="shared" si="5"/>
        <v>0</v>
      </c>
      <c r="G136" s="92" t="str">
        <f t="shared" si="6"/>
        <v/>
      </c>
      <c r="H136" s="54" t="str">
        <f>IFERROR(__xludf.DUMMYFUNCTION("IFERROR(INDEX(IMPORTRANGE(""1wF8uimz-gnzzmqfjHb8Ua7fudqcoq5SrFyToq2B2IO0"",""💰 Donations!A4:N200""),50,6),"""")"),"")</f>
        <v/>
      </c>
      <c r="I136" s="85" t="str">
        <f>IFERROR(__xludf.DUMMYFUNCTION("IFERROR(IF(INDEX(IMPORTRANGE(""1wF8uimz-gnzzmqfjHb8Ua7fudqcoq5SrFyToq2B2IO0"",""💰 Donations!A4:N200""),50,7)="""","""",TEXT(INDEX(IMPORTRANGE(""1wF8uimz-gnzzmqfjHb8Ua7fudqcoq5SrFyToq2B2IO0"",""💰 Donations!A4:N200""),50,7),""DD-MM-YYYY"")),"""")"),"")</f>
        <v/>
      </c>
      <c r="J136" s="86" t="str">
        <f>IFERROR(__xludf.DUMMYFUNCTION("IFERROR(INDEX(IMPORTRANGE(""1wF8uimz-gnzzmqfjHb8Ua7fudqcoq5SrFyToq2B2IO0"",""💰 Donations!A4:N200""),50,8),"""")"),"")</f>
        <v/>
      </c>
      <c r="K136" s="93" t="str">
        <f>IFERROR(__xludf.DUMMYFUNCTION("IFERROR(INDEX(IMPORTRANGE(""1wF8uimz-gnzzmqfjHb8Ua7fudqcoq5SrFyToq2B2IO0"",""💰 Donations!A4:N200""),50,11),"""")"),"")</f>
        <v/>
      </c>
      <c r="L136" s="54" t="str">
        <f>IFERROR(__xludf.DUMMYFUNCTION("IFERROR(INDEX(IMPORTRANGE(""1wF8uimz-gnzzmqfjHb8Ua7fudqcoq5SrFyToq2B2IO0"",""💰 Donations!A4:N200""),50,13),"""")"),"")</f>
        <v/>
      </c>
      <c r="M136" s="86" t="str">
        <f>IFERROR(__xludf.DUMMYFUNCTION("IFERROR(INDEX(IMPORTRANGE(""1wF8uimz-gnzzmqfjHb8Ua7fudqcoq5SrFyToq2B2IO0"",""💰 Donations!A4:N200""),50,14),"""")"),"")</f>
        <v/>
      </c>
      <c r="N136" s="85" t="str">
        <f>IFERROR(__xludf.DUMMYFUNCTION("IFERROR(IF(INDEX(IMPORTRANGE(""1wF8uimz-gnzzmqfjHb8Ua7fudqcoq5SrFyToq2B2IO0"",""💰 Donations!A4:N200""),50,10)="""","""",TEXT(INDEX(IMPORTRANGE(""1wF8uimz-gnzzmqfjHb8Ua7fudqcoq5SrFyToq2B2IO0"",""💰 Donations!A4:N200""),50,10),""DD-MM-YYYY"")),"""")"),"")</f>
        <v/>
      </c>
    </row>
    <row r="137" ht="19.5" customHeight="1">
      <c r="A137" s="33" t="s">
        <v>28</v>
      </c>
      <c r="B137" s="2"/>
      <c r="C137" s="3"/>
      <c r="D137" s="34">
        <f>SUMPRODUCT((A87:A136&lt;&gt;"")*D87:D136)</f>
        <v>0</v>
      </c>
      <c r="E137" s="34">
        <f>SUMPRODUCT((A87:A136&lt;&gt;"")*E87:E136)</f>
        <v>0</v>
      </c>
      <c r="F137" s="34">
        <f>D137-E137</f>
        <v>0</v>
      </c>
      <c r="G137" s="38"/>
      <c r="H137" s="38"/>
      <c r="I137" s="38"/>
      <c r="J137" s="38"/>
      <c r="K137" s="38"/>
      <c r="L137" s="38"/>
      <c r="M137" s="38"/>
      <c r="N137" s="38"/>
    </row>
    <row r="138" ht="6.0" customHeight="1"/>
    <row r="139" ht="19.5" customHeight="1">
      <c r="A139" s="5" t="s">
        <v>113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</row>
    <row r="140" ht="18.0" customHeight="1">
      <c r="A140" s="17" t="s">
        <v>14</v>
      </c>
      <c r="B140" s="17" t="s">
        <v>106</v>
      </c>
      <c r="C140" s="17" t="s">
        <v>114</v>
      </c>
      <c r="D140" s="17" t="s">
        <v>115</v>
      </c>
      <c r="E140" s="17" t="s">
        <v>116</v>
      </c>
      <c r="F140" s="17" t="s">
        <v>15</v>
      </c>
      <c r="G140" s="17" t="s">
        <v>47</v>
      </c>
      <c r="H140" s="17" t="s">
        <v>117</v>
      </c>
      <c r="I140" s="17" t="s">
        <v>109</v>
      </c>
    </row>
    <row r="141" ht="18.0" customHeight="1">
      <c r="A141" s="19" t="str">
        <f>IFERROR(__xludf.DUMMYFUNCTION("IFERROR(INDEX(IMPORTRANGE(""1wF8uimz-gnzzmqfjHb8Ua7fudqcoq5SrFyToq2B2IO0"",""🌿 In-Kind!A4:I200""),1,1),"""")"),"2027/IK/1")</f>
        <v>2027/IK/1</v>
      </c>
      <c r="B141" s="83" t="str">
        <f>IFERROR(__xludf.DUMMYFUNCTION("IFERROR(INDEX(IMPORTRANGE(""1wF8uimz-gnzzmqfjHb8Ua7fudqcoq5SrFyToq2B2IO0"",""🌿 In-Kind!A4:I200""),1,2),"""")"),"Meera Mohan")</f>
        <v>Meera Mohan</v>
      </c>
      <c r="C141" s="94" t="str">
        <f>IFERROR(__xludf.DUMMYFUNCTION("IFERROR(INDEX(IMPORTRANGE(""1wF8uimz-gnzzmqfjHb8Ua7fudqcoq5SrFyToq2B2IO0"",""🌿 In-Kind!A4:I200""),1,3),"""")"),"Saree for Ponniamma — Saree for Old Uthsav Amman, Stitched cloth, For Moolasthanam, Small Amman, Three Nagathamman, Vinayagar &amp; Murugan")</f>
        <v>Saree for Ponniamma — Saree for Old Uthsav Amman, Stitched cloth, For Moolasthanam, Small Amman, Three Nagathamman, Vinayagar &amp; Murugan</v>
      </c>
      <c r="D141" s="50">
        <f>IFERROR(__xludf.DUMMYFUNCTION("IFERROR(INDEX(IMPORTRANGE(""1wF8uimz-gnzzmqfjHb8Ua7fudqcoq5SrFyToq2B2IO0"",""🌿 In-Kind!A4:I200""),1,4),"""")"),1.0)</f>
        <v>1</v>
      </c>
      <c r="E141" s="95">
        <f>IFERROR(__xludf.DUMMYFUNCTION("IFERROR(IFERROR(INDEX(IMPORTRANGE(""1wF8uimz-gnzzmqfjHb8Ua7fudqcoq5SrFyToq2B2IO0"",""🌿 In-Kind!A4:I200""),1,5)*1,0),0)"),0.0)</f>
        <v>0</v>
      </c>
      <c r="F141" s="83" t="str">
        <f>IFERROR(__xludf.DUMMYFUNCTION("IFERROR(INDEX(IMPORTRANGE(""1wF8uimz-gnzzmqfjHb8Ua7fudqcoq5SrFyToq2B2IO0"",""🌿 In-Kind!A4:I200""),1,6),"""")"),"Clothing")</f>
        <v>Clothing</v>
      </c>
      <c r="G141" s="89" t="str">
        <f>IFERROR(__xludf.DUMMYFUNCTION("IFERROR(INDEX(IMPORTRANGE(""1wF8uimz-gnzzmqfjHb8Ua7fudqcoq5SrFyToq2B2IO0"",""🌿 In-Kind!A4:I200""),1,9),"""")"),"In Stock")</f>
        <v>In Stock</v>
      </c>
      <c r="H141" s="82" t="str">
        <f>IFERROR(__xludf.DUMMYFUNCTION("IFERROR(IF(INDEX(IMPORTRANGE(""1wF8uimz-gnzzmqfjHb8Ua7fudqcoq5SrFyToq2B2IO0"",""🌿 In-Kind!A4:I200""),1,7)="""","""",TEXT(INDEX(IMPORTRANGE(""1wF8uimz-gnzzmqfjHb8Ua7fudqcoq5SrFyToq2B2IO0"",""🌿 In-Kind!A4:I200""),1,7),""DD-MM-YYYY"")),"""")"),"24-05-2027")</f>
        <v>24-05-2027</v>
      </c>
      <c r="I141" s="83" t="str">
        <f>IFERROR(__xludf.DUMMYFUNCTION("IFERROR(INDEX(IMPORTRANGE(""1wF8uimz-gnzzmqfjHb8Ua7fudqcoq5SrFyToq2B2IO0"",""🌿 In-Kind!A4:I200""),1,8),"""")"),"Sunil Kumar")</f>
        <v>Sunil Kumar</v>
      </c>
      <c r="J141" s="36"/>
      <c r="K141" s="36"/>
      <c r="L141" s="36"/>
      <c r="M141" s="36"/>
      <c r="N141" s="36"/>
    </row>
    <row r="142" ht="18.0" customHeight="1">
      <c r="A142" s="22" t="str">
        <f>IFERROR(__xludf.DUMMYFUNCTION("IFERROR(INDEX(IMPORTRANGE(""1wF8uimz-gnzzmqfjHb8Ua7fudqcoq5SrFyToq2B2IO0"",""🌿 In-Kind!A4:I200""),2,1),"""")"),"")</f>
        <v/>
      </c>
      <c r="B142" s="86" t="str">
        <f>IFERROR(__xludf.DUMMYFUNCTION("IFERROR(INDEX(IMPORTRANGE(""1wF8uimz-gnzzmqfjHb8Ua7fudqcoq5SrFyToq2B2IO0"",""🌿 In-Kind!A4:I200""),2,2),"""")"),"")</f>
        <v/>
      </c>
      <c r="C142" s="96" t="str">
        <f>IFERROR(__xludf.DUMMYFUNCTION("IFERROR(INDEX(IMPORTRANGE(""1wF8uimz-gnzzmqfjHb8Ua7fudqcoq5SrFyToq2B2IO0"",""🌿 In-Kind!A4:I200""),2,3),"""")"),"")</f>
        <v/>
      </c>
      <c r="D142" s="54" t="str">
        <f>IFERROR(__xludf.DUMMYFUNCTION("IFERROR(INDEX(IMPORTRANGE(""1wF8uimz-gnzzmqfjHb8Ua7fudqcoq5SrFyToq2B2IO0"",""🌿 In-Kind!A4:I200""),2,4),"""")"),"")</f>
        <v/>
      </c>
      <c r="E142" s="97">
        <f>IFERROR(__xludf.DUMMYFUNCTION("IFERROR(IFERROR(INDEX(IMPORTRANGE(""1wF8uimz-gnzzmqfjHb8Ua7fudqcoq5SrFyToq2B2IO0"",""🌿 In-Kind!A4:I200""),2,5)*1,0),0)"),0.0)</f>
        <v>0</v>
      </c>
      <c r="F142" s="86" t="str">
        <f>IFERROR(__xludf.DUMMYFUNCTION("IFERROR(INDEX(IMPORTRANGE(""1wF8uimz-gnzzmqfjHb8Ua7fudqcoq5SrFyToq2B2IO0"",""🌿 In-Kind!A4:I200""),2,6),"""")"),"")</f>
        <v/>
      </c>
      <c r="G142" s="92" t="str">
        <f>IFERROR(__xludf.DUMMYFUNCTION("IFERROR(INDEX(IMPORTRANGE(""1wF8uimz-gnzzmqfjHb8Ua7fudqcoq5SrFyToq2B2IO0"",""🌿 In-Kind!A4:I200""),2,9),"""")"),"")</f>
        <v/>
      </c>
      <c r="H142" s="85" t="str">
        <f>IFERROR(__xludf.DUMMYFUNCTION("IFERROR(IF(INDEX(IMPORTRANGE(""1wF8uimz-gnzzmqfjHb8Ua7fudqcoq5SrFyToq2B2IO0"",""🌿 In-Kind!A4:I200""),2,7)="""","""",TEXT(INDEX(IMPORTRANGE(""1wF8uimz-gnzzmqfjHb8Ua7fudqcoq5SrFyToq2B2IO0"",""🌿 In-Kind!A4:I200""),2,7),""DD-MM-YYYY"")),"""")"),"")</f>
        <v/>
      </c>
      <c r="I142" s="86" t="str">
        <f>IFERROR(__xludf.DUMMYFUNCTION("IFERROR(INDEX(IMPORTRANGE(""1wF8uimz-gnzzmqfjHb8Ua7fudqcoq5SrFyToq2B2IO0"",""🌿 In-Kind!A4:I200""),2,8),"""")"),"")</f>
        <v/>
      </c>
      <c r="J142" s="37"/>
      <c r="K142" s="37"/>
      <c r="L142" s="37"/>
      <c r="M142" s="37"/>
      <c r="N142" s="37"/>
    </row>
    <row r="143" ht="18.0" customHeight="1">
      <c r="A143" s="19" t="str">
        <f>IFERROR(__xludf.DUMMYFUNCTION("IFERROR(INDEX(IMPORTRANGE(""1wF8uimz-gnzzmqfjHb8Ua7fudqcoq5SrFyToq2B2IO0"",""🌿 In-Kind!A4:I200""),3,1),"""")"),"")</f>
        <v/>
      </c>
      <c r="B143" s="83" t="str">
        <f>IFERROR(__xludf.DUMMYFUNCTION("IFERROR(INDEX(IMPORTRANGE(""1wF8uimz-gnzzmqfjHb8Ua7fudqcoq5SrFyToq2B2IO0"",""🌿 In-Kind!A4:I200""),3,2),"""")"),"")</f>
        <v/>
      </c>
      <c r="C143" s="94" t="str">
        <f>IFERROR(__xludf.DUMMYFUNCTION("IFERROR(INDEX(IMPORTRANGE(""1wF8uimz-gnzzmqfjHb8Ua7fudqcoq5SrFyToq2B2IO0"",""🌿 In-Kind!A4:I200""),3,3),"""")"),"")</f>
        <v/>
      </c>
      <c r="D143" s="50" t="str">
        <f>IFERROR(__xludf.DUMMYFUNCTION("IFERROR(INDEX(IMPORTRANGE(""1wF8uimz-gnzzmqfjHb8Ua7fudqcoq5SrFyToq2B2IO0"",""🌿 In-Kind!A4:I200""),3,4),"""")"),"")</f>
        <v/>
      </c>
      <c r="E143" s="95">
        <f>IFERROR(__xludf.DUMMYFUNCTION("IFERROR(IFERROR(INDEX(IMPORTRANGE(""1wF8uimz-gnzzmqfjHb8Ua7fudqcoq5SrFyToq2B2IO0"",""🌿 In-Kind!A4:I200""),3,5)*1,0),0)"),0.0)</f>
        <v>0</v>
      </c>
      <c r="F143" s="83" t="str">
        <f>IFERROR(__xludf.DUMMYFUNCTION("IFERROR(INDEX(IMPORTRANGE(""1wF8uimz-gnzzmqfjHb8Ua7fudqcoq5SrFyToq2B2IO0"",""🌿 In-Kind!A4:I200""),3,6),"""")"),"")</f>
        <v/>
      </c>
      <c r="G143" s="89" t="str">
        <f>IFERROR(__xludf.DUMMYFUNCTION("IFERROR(INDEX(IMPORTRANGE(""1wF8uimz-gnzzmqfjHb8Ua7fudqcoq5SrFyToq2B2IO0"",""🌿 In-Kind!A4:I200""),3,9),"""")"),"")</f>
        <v/>
      </c>
      <c r="H143" s="82" t="str">
        <f>IFERROR(__xludf.DUMMYFUNCTION("IFERROR(IF(INDEX(IMPORTRANGE(""1wF8uimz-gnzzmqfjHb8Ua7fudqcoq5SrFyToq2B2IO0"",""🌿 In-Kind!A4:I200""),3,7)="""","""",TEXT(INDEX(IMPORTRANGE(""1wF8uimz-gnzzmqfjHb8Ua7fudqcoq5SrFyToq2B2IO0"",""🌿 In-Kind!A4:I200""),3,7),""DD-MM-YYYY"")),"""")"),"")</f>
        <v/>
      </c>
      <c r="I143" s="83" t="str">
        <f>IFERROR(__xludf.DUMMYFUNCTION("IFERROR(INDEX(IMPORTRANGE(""1wF8uimz-gnzzmqfjHb8Ua7fudqcoq5SrFyToq2B2IO0"",""🌿 In-Kind!A4:I200""),3,8),"""")"),"")</f>
        <v/>
      </c>
      <c r="J143" s="36"/>
      <c r="K143" s="36"/>
      <c r="L143" s="36"/>
      <c r="M143" s="36"/>
      <c r="N143" s="36"/>
    </row>
    <row r="144" ht="18.0" customHeight="1">
      <c r="A144" s="22" t="str">
        <f>IFERROR(__xludf.DUMMYFUNCTION("IFERROR(INDEX(IMPORTRANGE(""1wF8uimz-gnzzmqfjHb8Ua7fudqcoq5SrFyToq2B2IO0"",""🌿 In-Kind!A4:I200""),4,1),"""")"),"")</f>
        <v/>
      </c>
      <c r="B144" s="86" t="str">
        <f>IFERROR(__xludf.DUMMYFUNCTION("IFERROR(INDEX(IMPORTRANGE(""1wF8uimz-gnzzmqfjHb8Ua7fudqcoq5SrFyToq2B2IO0"",""🌿 In-Kind!A4:I200""),4,2),"""")"),"")</f>
        <v/>
      </c>
      <c r="C144" s="96" t="str">
        <f>IFERROR(__xludf.DUMMYFUNCTION("IFERROR(INDEX(IMPORTRANGE(""1wF8uimz-gnzzmqfjHb8Ua7fudqcoq5SrFyToq2B2IO0"",""🌿 In-Kind!A4:I200""),4,3),"""")"),"")</f>
        <v/>
      </c>
      <c r="D144" s="54" t="str">
        <f>IFERROR(__xludf.DUMMYFUNCTION("IFERROR(INDEX(IMPORTRANGE(""1wF8uimz-gnzzmqfjHb8Ua7fudqcoq5SrFyToq2B2IO0"",""🌿 In-Kind!A4:I200""),4,4),"""")"),"")</f>
        <v/>
      </c>
      <c r="E144" s="97">
        <f>IFERROR(__xludf.DUMMYFUNCTION("IFERROR(IFERROR(INDEX(IMPORTRANGE(""1wF8uimz-gnzzmqfjHb8Ua7fudqcoq5SrFyToq2B2IO0"",""🌿 In-Kind!A4:I200""),4,5)*1,0),0)"),0.0)</f>
        <v>0</v>
      </c>
      <c r="F144" s="86" t="str">
        <f>IFERROR(__xludf.DUMMYFUNCTION("IFERROR(INDEX(IMPORTRANGE(""1wF8uimz-gnzzmqfjHb8Ua7fudqcoq5SrFyToq2B2IO0"",""🌿 In-Kind!A4:I200""),4,6),"""")"),"")</f>
        <v/>
      </c>
      <c r="G144" s="92" t="str">
        <f>IFERROR(__xludf.DUMMYFUNCTION("IFERROR(INDEX(IMPORTRANGE(""1wF8uimz-gnzzmqfjHb8Ua7fudqcoq5SrFyToq2B2IO0"",""🌿 In-Kind!A4:I200""),4,9),"""")"),"")</f>
        <v/>
      </c>
      <c r="H144" s="85" t="str">
        <f>IFERROR(__xludf.DUMMYFUNCTION("IFERROR(IF(INDEX(IMPORTRANGE(""1wF8uimz-gnzzmqfjHb8Ua7fudqcoq5SrFyToq2B2IO0"",""🌿 In-Kind!A4:I200""),4,7)="""","""",TEXT(INDEX(IMPORTRANGE(""1wF8uimz-gnzzmqfjHb8Ua7fudqcoq5SrFyToq2B2IO0"",""🌿 In-Kind!A4:I200""),4,7),""DD-MM-YYYY"")),"""")"),"")</f>
        <v/>
      </c>
      <c r="I144" s="86" t="str">
        <f>IFERROR(__xludf.DUMMYFUNCTION("IFERROR(INDEX(IMPORTRANGE(""1wF8uimz-gnzzmqfjHb8Ua7fudqcoq5SrFyToq2B2IO0"",""🌿 In-Kind!A4:I200""),4,8),"""")"),"")</f>
        <v/>
      </c>
      <c r="J144" s="37"/>
      <c r="K144" s="37"/>
      <c r="L144" s="37"/>
      <c r="M144" s="37"/>
      <c r="N144" s="37"/>
    </row>
    <row r="145" ht="18.0" customHeight="1">
      <c r="A145" s="19" t="str">
        <f>IFERROR(__xludf.DUMMYFUNCTION("IFERROR(INDEX(IMPORTRANGE(""1wF8uimz-gnzzmqfjHb8Ua7fudqcoq5SrFyToq2B2IO0"",""🌿 In-Kind!A4:I200""),5,1),"""")"),"")</f>
        <v/>
      </c>
      <c r="B145" s="83" t="str">
        <f>IFERROR(__xludf.DUMMYFUNCTION("IFERROR(INDEX(IMPORTRANGE(""1wF8uimz-gnzzmqfjHb8Ua7fudqcoq5SrFyToq2B2IO0"",""🌿 In-Kind!A4:I200""),5,2),"""")"),"")</f>
        <v/>
      </c>
      <c r="C145" s="94" t="str">
        <f>IFERROR(__xludf.DUMMYFUNCTION("IFERROR(INDEX(IMPORTRANGE(""1wF8uimz-gnzzmqfjHb8Ua7fudqcoq5SrFyToq2B2IO0"",""🌿 In-Kind!A4:I200""),5,3),"""")"),"")</f>
        <v/>
      </c>
      <c r="D145" s="50" t="str">
        <f>IFERROR(__xludf.DUMMYFUNCTION("IFERROR(INDEX(IMPORTRANGE(""1wF8uimz-gnzzmqfjHb8Ua7fudqcoq5SrFyToq2B2IO0"",""🌿 In-Kind!A4:I200""),5,4),"""")"),"")</f>
        <v/>
      </c>
      <c r="E145" s="95">
        <f>IFERROR(__xludf.DUMMYFUNCTION("IFERROR(IFERROR(INDEX(IMPORTRANGE(""1wF8uimz-gnzzmqfjHb8Ua7fudqcoq5SrFyToq2B2IO0"",""🌿 In-Kind!A4:I200""),5,5)*1,0),0)"),0.0)</f>
        <v>0</v>
      </c>
      <c r="F145" s="83" t="str">
        <f>IFERROR(__xludf.DUMMYFUNCTION("IFERROR(INDEX(IMPORTRANGE(""1wF8uimz-gnzzmqfjHb8Ua7fudqcoq5SrFyToq2B2IO0"",""🌿 In-Kind!A4:I200""),5,6),"""")"),"")</f>
        <v/>
      </c>
      <c r="G145" s="89" t="str">
        <f>IFERROR(__xludf.DUMMYFUNCTION("IFERROR(INDEX(IMPORTRANGE(""1wF8uimz-gnzzmqfjHb8Ua7fudqcoq5SrFyToq2B2IO0"",""🌿 In-Kind!A4:I200""),5,9),"""")"),"")</f>
        <v/>
      </c>
      <c r="H145" s="82" t="str">
        <f>IFERROR(__xludf.DUMMYFUNCTION("IFERROR(IF(INDEX(IMPORTRANGE(""1wF8uimz-gnzzmqfjHb8Ua7fudqcoq5SrFyToq2B2IO0"",""🌿 In-Kind!A4:I200""),5,7)="""","""",TEXT(INDEX(IMPORTRANGE(""1wF8uimz-gnzzmqfjHb8Ua7fudqcoq5SrFyToq2B2IO0"",""🌿 In-Kind!A4:I200""),5,7),""DD-MM-YYYY"")),"""")"),"")</f>
        <v/>
      </c>
      <c r="I145" s="83" t="str">
        <f>IFERROR(__xludf.DUMMYFUNCTION("IFERROR(INDEX(IMPORTRANGE(""1wF8uimz-gnzzmqfjHb8Ua7fudqcoq5SrFyToq2B2IO0"",""🌿 In-Kind!A4:I200""),5,8),"""")"),"")</f>
        <v/>
      </c>
      <c r="J145" s="36"/>
      <c r="K145" s="36"/>
      <c r="L145" s="36"/>
      <c r="M145" s="36"/>
      <c r="N145" s="36"/>
    </row>
    <row r="146" ht="18.0" customHeight="1">
      <c r="A146" s="22" t="str">
        <f>IFERROR(__xludf.DUMMYFUNCTION("IFERROR(INDEX(IMPORTRANGE(""1wF8uimz-gnzzmqfjHb8Ua7fudqcoq5SrFyToq2B2IO0"",""🌿 In-Kind!A4:I200""),6,1),"""")"),"")</f>
        <v/>
      </c>
      <c r="B146" s="86" t="str">
        <f>IFERROR(__xludf.DUMMYFUNCTION("IFERROR(INDEX(IMPORTRANGE(""1wF8uimz-gnzzmqfjHb8Ua7fudqcoq5SrFyToq2B2IO0"",""🌿 In-Kind!A4:I200""),6,2),"""")"),"")</f>
        <v/>
      </c>
      <c r="C146" s="96" t="str">
        <f>IFERROR(__xludf.DUMMYFUNCTION("IFERROR(INDEX(IMPORTRANGE(""1wF8uimz-gnzzmqfjHb8Ua7fudqcoq5SrFyToq2B2IO0"",""🌿 In-Kind!A4:I200""),6,3),"""")"),"")</f>
        <v/>
      </c>
      <c r="D146" s="54" t="str">
        <f>IFERROR(__xludf.DUMMYFUNCTION("IFERROR(INDEX(IMPORTRANGE(""1wF8uimz-gnzzmqfjHb8Ua7fudqcoq5SrFyToq2B2IO0"",""🌿 In-Kind!A4:I200""),6,4),"""")"),"")</f>
        <v/>
      </c>
      <c r="E146" s="97">
        <f>IFERROR(__xludf.DUMMYFUNCTION("IFERROR(IFERROR(INDEX(IMPORTRANGE(""1wF8uimz-gnzzmqfjHb8Ua7fudqcoq5SrFyToq2B2IO0"",""🌿 In-Kind!A4:I200""),6,5)*1,0),0)"),0.0)</f>
        <v>0</v>
      </c>
      <c r="F146" s="86" t="str">
        <f>IFERROR(__xludf.DUMMYFUNCTION("IFERROR(INDEX(IMPORTRANGE(""1wF8uimz-gnzzmqfjHb8Ua7fudqcoq5SrFyToq2B2IO0"",""🌿 In-Kind!A4:I200""),6,6),"""")"),"")</f>
        <v/>
      </c>
      <c r="G146" s="92" t="str">
        <f>IFERROR(__xludf.DUMMYFUNCTION("IFERROR(INDEX(IMPORTRANGE(""1wF8uimz-gnzzmqfjHb8Ua7fudqcoq5SrFyToq2B2IO0"",""🌿 In-Kind!A4:I200""),6,9),"""")"),"")</f>
        <v/>
      </c>
      <c r="H146" s="85" t="str">
        <f>IFERROR(__xludf.DUMMYFUNCTION("IFERROR(IF(INDEX(IMPORTRANGE(""1wF8uimz-gnzzmqfjHb8Ua7fudqcoq5SrFyToq2B2IO0"",""🌿 In-Kind!A4:I200""),6,7)="""","""",TEXT(INDEX(IMPORTRANGE(""1wF8uimz-gnzzmqfjHb8Ua7fudqcoq5SrFyToq2B2IO0"",""🌿 In-Kind!A4:I200""),6,7),""DD-MM-YYYY"")),"""")"),"")</f>
        <v/>
      </c>
      <c r="I146" s="86" t="str">
        <f>IFERROR(__xludf.DUMMYFUNCTION("IFERROR(INDEX(IMPORTRANGE(""1wF8uimz-gnzzmqfjHb8Ua7fudqcoq5SrFyToq2B2IO0"",""🌿 In-Kind!A4:I200""),6,8),"""")"),"")</f>
        <v/>
      </c>
      <c r="J146" s="37"/>
      <c r="K146" s="37"/>
      <c r="L146" s="37"/>
      <c r="M146" s="37"/>
      <c r="N146" s="37"/>
    </row>
    <row r="147" ht="18.0" customHeight="1">
      <c r="A147" s="19" t="str">
        <f>IFERROR(__xludf.DUMMYFUNCTION("IFERROR(INDEX(IMPORTRANGE(""1wF8uimz-gnzzmqfjHb8Ua7fudqcoq5SrFyToq2B2IO0"",""🌿 In-Kind!A4:I200""),7,1),"""")"),"")</f>
        <v/>
      </c>
      <c r="B147" s="83" t="str">
        <f>IFERROR(__xludf.DUMMYFUNCTION("IFERROR(INDEX(IMPORTRANGE(""1wF8uimz-gnzzmqfjHb8Ua7fudqcoq5SrFyToq2B2IO0"",""🌿 In-Kind!A4:I200""),7,2),"""")"),"")</f>
        <v/>
      </c>
      <c r="C147" s="94" t="str">
        <f>IFERROR(__xludf.DUMMYFUNCTION("IFERROR(INDEX(IMPORTRANGE(""1wF8uimz-gnzzmqfjHb8Ua7fudqcoq5SrFyToq2B2IO0"",""🌿 In-Kind!A4:I200""),7,3),"""")"),"")</f>
        <v/>
      </c>
      <c r="D147" s="50" t="str">
        <f>IFERROR(__xludf.DUMMYFUNCTION("IFERROR(INDEX(IMPORTRANGE(""1wF8uimz-gnzzmqfjHb8Ua7fudqcoq5SrFyToq2B2IO0"",""🌿 In-Kind!A4:I200""),7,4),"""")"),"")</f>
        <v/>
      </c>
      <c r="E147" s="95">
        <f>IFERROR(__xludf.DUMMYFUNCTION("IFERROR(IFERROR(INDEX(IMPORTRANGE(""1wF8uimz-gnzzmqfjHb8Ua7fudqcoq5SrFyToq2B2IO0"",""🌿 In-Kind!A4:I200""),7,5)*1,0),0)"),0.0)</f>
        <v>0</v>
      </c>
      <c r="F147" s="83" t="str">
        <f>IFERROR(__xludf.DUMMYFUNCTION("IFERROR(INDEX(IMPORTRANGE(""1wF8uimz-gnzzmqfjHb8Ua7fudqcoq5SrFyToq2B2IO0"",""🌿 In-Kind!A4:I200""),7,6),"""")"),"")</f>
        <v/>
      </c>
      <c r="G147" s="89" t="str">
        <f>IFERROR(__xludf.DUMMYFUNCTION("IFERROR(INDEX(IMPORTRANGE(""1wF8uimz-gnzzmqfjHb8Ua7fudqcoq5SrFyToq2B2IO0"",""🌿 In-Kind!A4:I200""),7,9),"""")"),"")</f>
        <v/>
      </c>
      <c r="H147" s="82" t="str">
        <f>IFERROR(__xludf.DUMMYFUNCTION("IFERROR(IF(INDEX(IMPORTRANGE(""1wF8uimz-gnzzmqfjHb8Ua7fudqcoq5SrFyToq2B2IO0"",""🌿 In-Kind!A4:I200""),7,7)="""","""",TEXT(INDEX(IMPORTRANGE(""1wF8uimz-gnzzmqfjHb8Ua7fudqcoq5SrFyToq2B2IO0"",""🌿 In-Kind!A4:I200""),7,7),""DD-MM-YYYY"")),"""")"),"")</f>
        <v/>
      </c>
      <c r="I147" s="83" t="str">
        <f>IFERROR(__xludf.DUMMYFUNCTION("IFERROR(INDEX(IMPORTRANGE(""1wF8uimz-gnzzmqfjHb8Ua7fudqcoq5SrFyToq2B2IO0"",""🌿 In-Kind!A4:I200""),7,8),"""")"),"")</f>
        <v/>
      </c>
      <c r="J147" s="36"/>
      <c r="K147" s="36"/>
      <c r="L147" s="36"/>
      <c r="M147" s="36"/>
      <c r="N147" s="36"/>
    </row>
    <row r="148" ht="18.0" customHeight="1">
      <c r="A148" s="22" t="str">
        <f>IFERROR(__xludf.DUMMYFUNCTION("IFERROR(INDEX(IMPORTRANGE(""1wF8uimz-gnzzmqfjHb8Ua7fudqcoq5SrFyToq2B2IO0"",""🌿 In-Kind!A4:I200""),8,1),"""")"),"")</f>
        <v/>
      </c>
      <c r="B148" s="86" t="str">
        <f>IFERROR(__xludf.DUMMYFUNCTION("IFERROR(INDEX(IMPORTRANGE(""1wF8uimz-gnzzmqfjHb8Ua7fudqcoq5SrFyToq2B2IO0"",""🌿 In-Kind!A4:I200""),8,2),"""")"),"")</f>
        <v/>
      </c>
      <c r="C148" s="96" t="str">
        <f>IFERROR(__xludf.DUMMYFUNCTION("IFERROR(INDEX(IMPORTRANGE(""1wF8uimz-gnzzmqfjHb8Ua7fudqcoq5SrFyToq2B2IO0"",""🌿 In-Kind!A4:I200""),8,3),"""")"),"")</f>
        <v/>
      </c>
      <c r="D148" s="54" t="str">
        <f>IFERROR(__xludf.DUMMYFUNCTION("IFERROR(INDEX(IMPORTRANGE(""1wF8uimz-gnzzmqfjHb8Ua7fudqcoq5SrFyToq2B2IO0"",""🌿 In-Kind!A4:I200""),8,4),"""")"),"")</f>
        <v/>
      </c>
      <c r="E148" s="97">
        <f>IFERROR(__xludf.DUMMYFUNCTION("IFERROR(IFERROR(INDEX(IMPORTRANGE(""1wF8uimz-gnzzmqfjHb8Ua7fudqcoq5SrFyToq2B2IO0"",""🌿 In-Kind!A4:I200""),8,5)*1,0),0)"),0.0)</f>
        <v>0</v>
      </c>
      <c r="F148" s="86" t="str">
        <f>IFERROR(__xludf.DUMMYFUNCTION("IFERROR(INDEX(IMPORTRANGE(""1wF8uimz-gnzzmqfjHb8Ua7fudqcoq5SrFyToq2B2IO0"",""🌿 In-Kind!A4:I200""),8,6),"""")"),"")</f>
        <v/>
      </c>
      <c r="G148" s="92" t="str">
        <f>IFERROR(__xludf.DUMMYFUNCTION("IFERROR(INDEX(IMPORTRANGE(""1wF8uimz-gnzzmqfjHb8Ua7fudqcoq5SrFyToq2B2IO0"",""🌿 In-Kind!A4:I200""),8,9),"""")"),"")</f>
        <v/>
      </c>
      <c r="H148" s="85" t="str">
        <f>IFERROR(__xludf.DUMMYFUNCTION("IFERROR(IF(INDEX(IMPORTRANGE(""1wF8uimz-gnzzmqfjHb8Ua7fudqcoq5SrFyToq2B2IO0"",""🌿 In-Kind!A4:I200""),8,7)="""","""",TEXT(INDEX(IMPORTRANGE(""1wF8uimz-gnzzmqfjHb8Ua7fudqcoq5SrFyToq2B2IO0"",""🌿 In-Kind!A4:I200""),8,7),""DD-MM-YYYY"")),"""")"),"")</f>
        <v/>
      </c>
      <c r="I148" s="86" t="str">
        <f>IFERROR(__xludf.DUMMYFUNCTION("IFERROR(INDEX(IMPORTRANGE(""1wF8uimz-gnzzmqfjHb8Ua7fudqcoq5SrFyToq2B2IO0"",""🌿 In-Kind!A4:I200""),8,8),"""")"),"")</f>
        <v/>
      </c>
      <c r="J148" s="37"/>
      <c r="K148" s="37"/>
      <c r="L148" s="37"/>
      <c r="M148" s="37"/>
      <c r="N148" s="37"/>
    </row>
    <row r="149" ht="18.0" customHeight="1">
      <c r="A149" s="19" t="str">
        <f>IFERROR(__xludf.DUMMYFUNCTION("IFERROR(INDEX(IMPORTRANGE(""1wF8uimz-gnzzmqfjHb8Ua7fudqcoq5SrFyToq2B2IO0"",""🌿 In-Kind!A4:I200""),9,1),"""")"),"")</f>
        <v/>
      </c>
      <c r="B149" s="83" t="str">
        <f>IFERROR(__xludf.DUMMYFUNCTION("IFERROR(INDEX(IMPORTRANGE(""1wF8uimz-gnzzmqfjHb8Ua7fudqcoq5SrFyToq2B2IO0"",""🌿 In-Kind!A4:I200""),9,2),"""")"),"")</f>
        <v/>
      </c>
      <c r="C149" s="94" t="str">
        <f>IFERROR(__xludf.DUMMYFUNCTION("IFERROR(INDEX(IMPORTRANGE(""1wF8uimz-gnzzmqfjHb8Ua7fudqcoq5SrFyToq2B2IO0"",""🌿 In-Kind!A4:I200""),9,3),"""")"),"")</f>
        <v/>
      </c>
      <c r="D149" s="50" t="str">
        <f>IFERROR(__xludf.DUMMYFUNCTION("IFERROR(INDEX(IMPORTRANGE(""1wF8uimz-gnzzmqfjHb8Ua7fudqcoq5SrFyToq2B2IO0"",""🌿 In-Kind!A4:I200""),9,4),"""")"),"")</f>
        <v/>
      </c>
      <c r="E149" s="95">
        <f>IFERROR(__xludf.DUMMYFUNCTION("IFERROR(IFERROR(INDEX(IMPORTRANGE(""1wF8uimz-gnzzmqfjHb8Ua7fudqcoq5SrFyToq2B2IO0"",""🌿 In-Kind!A4:I200""),9,5)*1,0),0)"),0.0)</f>
        <v>0</v>
      </c>
      <c r="F149" s="83" t="str">
        <f>IFERROR(__xludf.DUMMYFUNCTION("IFERROR(INDEX(IMPORTRANGE(""1wF8uimz-gnzzmqfjHb8Ua7fudqcoq5SrFyToq2B2IO0"",""🌿 In-Kind!A4:I200""),9,6),"""")"),"")</f>
        <v/>
      </c>
      <c r="G149" s="89" t="str">
        <f>IFERROR(__xludf.DUMMYFUNCTION("IFERROR(INDEX(IMPORTRANGE(""1wF8uimz-gnzzmqfjHb8Ua7fudqcoq5SrFyToq2B2IO0"",""🌿 In-Kind!A4:I200""),9,9),"""")"),"")</f>
        <v/>
      </c>
      <c r="H149" s="82" t="str">
        <f>IFERROR(__xludf.DUMMYFUNCTION("IFERROR(IF(INDEX(IMPORTRANGE(""1wF8uimz-gnzzmqfjHb8Ua7fudqcoq5SrFyToq2B2IO0"",""🌿 In-Kind!A4:I200""),9,7)="""","""",TEXT(INDEX(IMPORTRANGE(""1wF8uimz-gnzzmqfjHb8Ua7fudqcoq5SrFyToq2B2IO0"",""🌿 In-Kind!A4:I200""),9,7),""DD-MM-YYYY"")),"""")"),"")</f>
        <v/>
      </c>
      <c r="I149" s="83" t="str">
        <f>IFERROR(__xludf.DUMMYFUNCTION("IFERROR(INDEX(IMPORTRANGE(""1wF8uimz-gnzzmqfjHb8Ua7fudqcoq5SrFyToq2B2IO0"",""🌿 In-Kind!A4:I200""),9,8),"""")"),"")</f>
        <v/>
      </c>
      <c r="J149" s="36"/>
      <c r="K149" s="36"/>
      <c r="L149" s="36"/>
      <c r="M149" s="36"/>
      <c r="N149" s="36"/>
    </row>
    <row r="150" ht="18.0" customHeight="1">
      <c r="A150" s="22" t="str">
        <f>IFERROR(__xludf.DUMMYFUNCTION("IFERROR(INDEX(IMPORTRANGE(""1wF8uimz-gnzzmqfjHb8Ua7fudqcoq5SrFyToq2B2IO0"",""🌿 In-Kind!A4:I200""),10,1),"""")"),"")</f>
        <v/>
      </c>
      <c r="B150" s="86" t="str">
        <f>IFERROR(__xludf.DUMMYFUNCTION("IFERROR(INDEX(IMPORTRANGE(""1wF8uimz-gnzzmqfjHb8Ua7fudqcoq5SrFyToq2B2IO0"",""🌿 In-Kind!A4:I200""),10,2),"""")"),"")</f>
        <v/>
      </c>
      <c r="C150" s="96" t="str">
        <f>IFERROR(__xludf.DUMMYFUNCTION("IFERROR(INDEX(IMPORTRANGE(""1wF8uimz-gnzzmqfjHb8Ua7fudqcoq5SrFyToq2B2IO0"",""🌿 In-Kind!A4:I200""),10,3),"""")"),"")</f>
        <v/>
      </c>
      <c r="D150" s="54" t="str">
        <f>IFERROR(__xludf.DUMMYFUNCTION("IFERROR(INDEX(IMPORTRANGE(""1wF8uimz-gnzzmqfjHb8Ua7fudqcoq5SrFyToq2B2IO0"",""🌿 In-Kind!A4:I200""),10,4),"""")"),"")</f>
        <v/>
      </c>
      <c r="E150" s="97">
        <f>IFERROR(__xludf.DUMMYFUNCTION("IFERROR(IFERROR(INDEX(IMPORTRANGE(""1wF8uimz-gnzzmqfjHb8Ua7fudqcoq5SrFyToq2B2IO0"",""🌿 In-Kind!A4:I200""),10,5)*1,0),0)"),0.0)</f>
        <v>0</v>
      </c>
      <c r="F150" s="86" t="str">
        <f>IFERROR(__xludf.DUMMYFUNCTION("IFERROR(INDEX(IMPORTRANGE(""1wF8uimz-gnzzmqfjHb8Ua7fudqcoq5SrFyToq2B2IO0"",""🌿 In-Kind!A4:I200""),10,6),"""")"),"")</f>
        <v/>
      </c>
      <c r="G150" s="92" t="str">
        <f>IFERROR(__xludf.DUMMYFUNCTION("IFERROR(INDEX(IMPORTRANGE(""1wF8uimz-gnzzmqfjHb8Ua7fudqcoq5SrFyToq2B2IO0"",""🌿 In-Kind!A4:I200""),10,9),"""")"),"")</f>
        <v/>
      </c>
      <c r="H150" s="85" t="str">
        <f>IFERROR(__xludf.DUMMYFUNCTION("IFERROR(IF(INDEX(IMPORTRANGE(""1wF8uimz-gnzzmqfjHb8Ua7fudqcoq5SrFyToq2B2IO0"",""🌿 In-Kind!A4:I200""),10,7)="""","""",TEXT(INDEX(IMPORTRANGE(""1wF8uimz-gnzzmqfjHb8Ua7fudqcoq5SrFyToq2B2IO0"",""🌿 In-Kind!A4:I200""),10,7),""DD-MM-YYYY"")),"""")"),"")</f>
        <v/>
      </c>
      <c r="I150" s="86" t="str">
        <f>IFERROR(__xludf.DUMMYFUNCTION("IFERROR(INDEX(IMPORTRANGE(""1wF8uimz-gnzzmqfjHb8Ua7fudqcoq5SrFyToq2B2IO0"",""🌿 In-Kind!A4:I200""),10,8),"""")"),"")</f>
        <v/>
      </c>
      <c r="J150" s="37"/>
      <c r="K150" s="37"/>
      <c r="L150" s="37"/>
      <c r="M150" s="37"/>
      <c r="N150" s="37"/>
    </row>
    <row r="151" ht="18.0" customHeight="1">
      <c r="A151" s="19" t="str">
        <f>IFERROR(__xludf.DUMMYFUNCTION("IFERROR(INDEX(IMPORTRANGE(""1wF8uimz-gnzzmqfjHb8Ua7fudqcoq5SrFyToq2B2IO0"",""🌿 In-Kind!A4:I200""),11,1),"""")"),"")</f>
        <v/>
      </c>
      <c r="B151" s="83" t="str">
        <f>IFERROR(__xludf.DUMMYFUNCTION("IFERROR(INDEX(IMPORTRANGE(""1wF8uimz-gnzzmqfjHb8Ua7fudqcoq5SrFyToq2B2IO0"",""🌿 In-Kind!A4:I200""),11,2),"""")"),"")</f>
        <v/>
      </c>
      <c r="C151" s="94" t="str">
        <f>IFERROR(__xludf.DUMMYFUNCTION("IFERROR(INDEX(IMPORTRANGE(""1wF8uimz-gnzzmqfjHb8Ua7fudqcoq5SrFyToq2B2IO0"",""🌿 In-Kind!A4:I200""),11,3),"""")"),"")</f>
        <v/>
      </c>
      <c r="D151" s="50" t="str">
        <f>IFERROR(__xludf.DUMMYFUNCTION("IFERROR(INDEX(IMPORTRANGE(""1wF8uimz-gnzzmqfjHb8Ua7fudqcoq5SrFyToq2B2IO0"",""🌿 In-Kind!A4:I200""),11,4),"""")"),"")</f>
        <v/>
      </c>
      <c r="E151" s="95">
        <f>IFERROR(__xludf.DUMMYFUNCTION("IFERROR(IFERROR(INDEX(IMPORTRANGE(""1wF8uimz-gnzzmqfjHb8Ua7fudqcoq5SrFyToq2B2IO0"",""🌿 In-Kind!A4:I200""),11,5)*1,0),0)"),0.0)</f>
        <v>0</v>
      </c>
      <c r="F151" s="83" t="str">
        <f>IFERROR(__xludf.DUMMYFUNCTION("IFERROR(INDEX(IMPORTRANGE(""1wF8uimz-gnzzmqfjHb8Ua7fudqcoq5SrFyToq2B2IO0"",""🌿 In-Kind!A4:I200""),11,6),"""")"),"")</f>
        <v/>
      </c>
      <c r="G151" s="89" t="str">
        <f>IFERROR(__xludf.DUMMYFUNCTION("IFERROR(INDEX(IMPORTRANGE(""1wF8uimz-gnzzmqfjHb8Ua7fudqcoq5SrFyToq2B2IO0"",""🌿 In-Kind!A4:I200""),11,9),"""")"),"")</f>
        <v/>
      </c>
      <c r="H151" s="82" t="str">
        <f>IFERROR(__xludf.DUMMYFUNCTION("IFERROR(IF(INDEX(IMPORTRANGE(""1wF8uimz-gnzzmqfjHb8Ua7fudqcoq5SrFyToq2B2IO0"",""🌿 In-Kind!A4:I200""),11,7)="""","""",TEXT(INDEX(IMPORTRANGE(""1wF8uimz-gnzzmqfjHb8Ua7fudqcoq5SrFyToq2B2IO0"",""🌿 In-Kind!A4:I200""),11,7),""DD-MM-YYYY"")),"""")"),"")</f>
        <v/>
      </c>
      <c r="I151" s="83" t="str">
        <f>IFERROR(__xludf.DUMMYFUNCTION("IFERROR(INDEX(IMPORTRANGE(""1wF8uimz-gnzzmqfjHb8Ua7fudqcoq5SrFyToq2B2IO0"",""🌿 In-Kind!A4:I200""),11,8),"""")"),"")</f>
        <v/>
      </c>
      <c r="J151" s="36"/>
      <c r="K151" s="36"/>
      <c r="L151" s="36"/>
      <c r="M151" s="36"/>
      <c r="N151" s="36"/>
    </row>
    <row r="152" ht="18.0" customHeight="1">
      <c r="A152" s="22" t="str">
        <f>IFERROR(__xludf.DUMMYFUNCTION("IFERROR(INDEX(IMPORTRANGE(""1wF8uimz-gnzzmqfjHb8Ua7fudqcoq5SrFyToq2B2IO0"",""🌿 In-Kind!A4:I200""),12,1),"""")"),"")</f>
        <v/>
      </c>
      <c r="B152" s="86" t="str">
        <f>IFERROR(__xludf.DUMMYFUNCTION("IFERROR(INDEX(IMPORTRANGE(""1wF8uimz-gnzzmqfjHb8Ua7fudqcoq5SrFyToq2B2IO0"",""🌿 In-Kind!A4:I200""),12,2),"""")"),"")</f>
        <v/>
      </c>
      <c r="C152" s="96" t="str">
        <f>IFERROR(__xludf.DUMMYFUNCTION("IFERROR(INDEX(IMPORTRANGE(""1wF8uimz-gnzzmqfjHb8Ua7fudqcoq5SrFyToq2B2IO0"",""🌿 In-Kind!A4:I200""),12,3),"""")"),"")</f>
        <v/>
      </c>
      <c r="D152" s="54" t="str">
        <f>IFERROR(__xludf.DUMMYFUNCTION("IFERROR(INDEX(IMPORTRANGE(""1wF8uimz-gnzzmqfjHb8Ua7fudqcoq5SrFyToq2B2IO0"",""🌿 In-Kind!A4:I200""),12,4),"""")"),"")</f>
        <v/>
      </c>
      <c r="E152" s="97">
        <f>IFERROR(__xludf.DUMMYFUNCTION("IFERROR(IFERROR(INDEX(IMPORTRANGE(""1wF8uimz-gnzzmqfjHb8Ua7fudqcoq5SrFyToq2B2IO0"",""🌿 In-Kind!A4:I200""),12,5)*1,0),0)"),0.0)</f>
        <v>0</v>
      </c>
      <c r="F152" s="86" t="str">
        <f>IFERROR(__xludf.DUMMYFUNCTION("IFERROR(INDEX(IMPORTRANGE(""1wF8uimz-gnzzmqfjHb8Ua7fudqcoq5SrFyToq2B2IO0"",""🌿 In-Kind!A4:I200""),12,6),"""")"),"")</f>
        <v/>
      </c>
      <c r="G152" s="92" t="str">
        <f>IFERROR(__xludf.DUMMYFUNCTION("IFERROR(INDEX(IMPORTRANGE(""1wF8uimz-gnzzmqfjHb8Ua7fudqcoq5SrFyToq2B2IO0"",""🌿 In-Kind!A4:I200""),12,9),"""")"),"")</f>
        <v/>
      </c>
      <c r="H152" s="85" t="str">
        <f>IFERROR(__xludf.DUMMYFUNCTION("IFERROR(IF(INDEX(IMPORTRANGE(""1wF8uimz-gnzzmqfjHb8Ua7fudqcoq5SrFyToq2B2IO0"",""🌿 In-Kind!A4:I200""),12,7)="""","""",TEXT(INDEX(IMPORTRANGE(""1wF8uimz-gnzzmqfjHb8Ua7fudqcoq5SrFyToq2B2IO0"",""🌿 In-Kind!A4:I200""),12,7),""DD-MM-YYYY"")),"""")"),"")</f>
        <v/>
      </c>
      <c r="I152" s="86" t="str">
        <f>IFERROR(__xludf.DUMMYFUNCTION("IFERROR(INDEX(IMPORTRANGE(""1wF8uimz-gnzzmqfjHb8Ua7fudqcoq5SrFyToq2B2IO0"",""🌿 In-Kind!A4:I200""),12,8),"""")"),"")</f>
        <v/>
      </c>
      <c r="J152" s="37"/>
      <c r="K152" s="37"/>
      <c r="L152" s="37"/>
      <c r="M152" s="37"/>
      <c r="N152" s="37"/>
    </row>
    <row r="153" ht="18.0" customHeight="1">
      <c r="A153" s="19" t="str">
        <f>IFERROR(__xludf.DUMMYFUNCTION("IFERROR(INDEX(IMPORTRANGE(""1wF8uimz-gnzzmqfjHb8Ua7fudqcoq5SrFyToq2B2IO0"",""🌿 In-Kind!A4:I200""),13,1),"""")"),"")</f>
        <v/>
      </c>
      <c r="B153" s="83" t="str">
        <f>IFERROR(__xludf.DUMMYFUNCTION("IFERROR(INDEX(IMPORTRANGE(""1wF8uimz-gnzzmqfjHb8Ua7fudqcoq5SrFyToq2B2IO0"",""🌿 In-Kind!A4:I200""),13,2),"""")"),"")</f>
        <v/>
      </c>
      <c r="C153" s="94" t="str">
        <f>IFERROR(__xludf.DUMMYFUNCTION("IFERROR(INDEX(IMPORTRANGE(""1wF8uimz-gnzzmqfjHb8Ua7fudqcoq5SrFyToq2B2IO0"",""🌿 In-Kind!A4:I200""),13,3),"""")"),"")</f>
        <v/>
      </c>
      <c r="D153" s="50" t="str">
        <f>IFERROR(__xludf.DUMMYFUNCTION("IFERROR(INDEX(IMPORTRANGE(""1wF8uimz-gnzzmqfjHb8Ua7fudqcoq5SrFyToq2B2IO0"",""🌿 In-Kind!A4:I200""),13,4),"""")"),"")</f>
        <v/>
      </c>
      <c r="E153" s="95">
        <f>IFERROR(__xludf.DUMMYFUNCTION("IFERROR(IFERROR(INDEX(IMPORTRANGE(""1wF8uimz-gnzzmqfjHb8Ua7fudqcoq5SrFyToq2B2IO0"",""🌿 In-Kind!A4:I200""),13,5)*1,0),0)"),0.0)</f>
        <v>0</v>
      </c>
      <c r="F153" s="83" t="str">
        <f>IFERROR(__xludf.DUMMYFUNCTION("IFERROR(INDEX(IMPORTRANGE(""1wF8uimz-gnzzmqfjHb8Ua7fudqcoq5SrFyToq2B2IO0"",""🌿 In-Kind!A4:I200""),13,6),"""")"),"")</f>
        <v/>
      </c>
      <c r="G153" s="89" t="str">
        <f>IFERROR(__xludf.DUMMYFUNCTION("IFERROR(INDEX(IMPORTRANGE(""1wF8uimz-gnzzmqfjHb8Ua7fudqcoq5SrFyToq2B2IO0"",""🌿 In-Kind!A4:I200""),13,9),"""")"),"")</f>
        <v/>
      </c>
      <c r="H153" s="82" t="str">
        <f>IFERROR(__xludf.DUMMYFUNCTION("IFERROR(IF(INDEX(IMPORTRANGE(""1wF8uimz-gnzzmqfjHb8Ua7fudqcoq5SrFyToq2B2IO0"",""🌿 In-Kind!A4:I200""),13,7)="""","""",TEXT(INDEX(IMPORTRANGE(""1wF8uimz-gnzzmqfjHb8Ua7fudqcoq5SrFyToq2B2IO0"",""🌿 In-Kind!A4:I200""),13,7),""DD-MM-YYYY"")),"""")"),"")</f>
        <v/>
      </c>
      <c r="I153" s="83" t="str">
        <f>IFERROR(__xludf.DUMMYFUNCTION("IFERROR(INDEX(IMPORTRANGE(""1wF8uimz-gnzzmqfjHb8Ua7fudqcoq5SrFyToq2B2IO0"",""🌿 In-Kind!A4:I200""),13,8),"""")"),"")</f>
        <v/>
      </c>
      <c r="J153" s="36"/>
      <c r="K153" s="36"/>
      <c r="L153" s="36"/>
      <c r="M153" s="36"/>
      <c r="N153" s="36"/>
    </row>
    <row r="154" ht="18.0" customHeight="1">
      <c r="A154" s="22" t="str">
        <f>IFERROR(__xludf.DUMMYFUNCTION("IFERROR(INDEX(IMPORTRANGE(""1wF8uimz-gnzzmqfjHb8Ua7fudqcoq5SrFyToq2B2IO0"",""🌿 In-Kind!A4:I200""),14,1),"""")"),"")</f>
        <v/>
      </c>
      <c r="B154" s="86" t="str">
        <f>IFERROR(__xludf.DUMMYFUNCTION("IFERROR(INDEX(IMPORTRANGE(""1wF8uimz-gnzzmqfjHb8Ua7fudqcoq5SrFyToq2B2IO0"",""🌿 In-Kind!A4:I200""),14,2),"""")"),"")</f>
        <v/>
      </c>
      <c r="C154" s="96" t="str">
        <f>IFERROR(__xludf.DUMMYFUNCTION("IFERROR(INDEX(IMPORTRANGE(""1wF8uimz-gnzzmqfjHb8Ua7fudqcoq5SrFyToq2B2IO0"",""🌿 In-Kind!A4:I200""),14,3),"""")"),"")</f>
        <v/>
      </c>
      <c r="D154" s="54" t="str">
        <f>IFERROR(__xludf.DUMMYFUNCTION("IFERROR(INDEX(IMPORTRANGE(""1wF8uimz-gnzzmqfjHb8Ua7fudqcoq5SrFyToq2B2IO0"",""🌿 In-Kind!A4:I200""),14,4),"""")"),"")</f>
        <v/>
      </c>
      <c r="E154" s="97">
        <f>IFERROR(__xludf.DUMMYFUNCTION("IFERROR(IFERROR(INDEX(IMPORTRANGE(""1wF8uimz-gnzzmqfjHb8Ua7fudqcoq5SrFyToq2B2IO0"",""🌿 In-Kind!A4:I200""),14,5)*1,0),0)"),0.0)</f>
        <v>0</v>
      </c>
      <c r="F154" s="86" t="str">
        <f>IFERROR(__xludf.DUMMYFUNCTION("IFERROR(INDEX(IMPORTRANGE(""1wF8uimz-gnzzmqfjHb8Ua7fudqcoq5SrFyToq2B2IO0"",""🌿 In-Kind!A4:I200""),14,6),"""")"),"")</f>
        <v/>
      </c>
      <c r="G154" s="92" t="str">
        <f>IFERROR(__xludf.DUMMYFUNCTION("IFERROR(INDEX(IMPORTRANGE(""1wF8uimz-gnzzmqfjHb8Ua7fudqcoq5SrFyToq2B2IO0"",""🌿 In-Kind!A4:I200""),14,9),"""")"),"")</f>
        <v/>
      </c>
      <c r="H154" s="85" t="str">
        <f>IFERROR(__xludf.DUMMYFUNCTION("IFERROR(IF(INDEX(IMPORTRANGE(""1wF8uimz-gnzzmqfjHb8Ua7fudqcoq5SrFyToq2B2IO0"",""🌿 In-Kind!A4:I200""),14,7)="""","""",TEXT(INDEX(IMPORTRANGE(""1wF8uimz-gnzzmqfjHb8Ua7fudqcoq5SrFyToq2B2IO0"",""🌿 In-Kind!A4:I200""),14,7),""DD-MM-YYYY"")),"""")"),"")</f>
        <v/>
      </c>
      <c r="I154" s="86" t="str">
        <f>IFERROR(__xludf.DUMMYFUNCTION("IFERROR(INDEX(IMPORTRANGE(""1wF8uimz-gnzzmqfjHb8Ua7fudqcoq5SrFyToq2B2IO0"",""🌿 In-Kind!A4:I200""),14,8),"""")"),"")</f>
        <v/>
      </c>
      <c r="J154" s="37"/>
      <c r="K154" s="37"/>
      <c r="L154" s="37"/>
      <c r="M154" s="37"/>
      <c r="N154" s="37"/>
    </row>
    <row r="155" ht="18.0" customHeight="1">
      <c r="A155" s="19" t="str">
        <f>IFERROR(__xludf.DUMMYFUNCTION("IFERROR(INDEX(IMPORTRANGE(""1wF8uimz-gnzzmqfjHb8Ua7fudqcoq5SrFyToq2B2IO0"",""🌿 In-Kind!A4:I200""),15,1),"""")"),"")</f>
        <v/>
      </c>
      <c r="B155" s="83" t="str">
        <f>IFERROR(__xludf.DUMMYFUNCTION("IFERROR(INDEX(IMPORTRANGE(""1wF8uimz-gnzzmqfjHb8Ua7fudqcoq5SrFyToq2B2IO0"",""🌿 In-Kind!A4:I200""),15,2),"""")"),"")</f>
        <v/>
      </c>
      <c r="C155" s="94" t="str">
        <f>IFERROR(__xludf.DUMMYFUNCTION("IFERROR(INDEX(IMPORTRANGE(""1wF8uimz-gnzzmqfjHb8Ua7fudqcoq5SrFyToq2B2IO0"",""🌿 In-Kind!A4:I200""),15,3),"""")"),"")</f>
        <v/>
      </c>
      <c r="D155" s="50" t="str">
        <f>IFERROR(__xludf.DUMMYFUNCTION("IFERROR(INDEX(IMPORTRANGE(""1wF8uimz-gnzzmqfjHb8Ua7fudqcoq5SrFyToq2B2IO0"",""🌿 In-Kind!A4:I200""),15,4),"""")"),"")</f>
        <v/>
      </c>
      <c r="E155" s="95">
        <f>IFERROR(__xludf.DUMMYFUNCTION("IFERROR(IFERROR(INDEX(IMPORTRANGE(""1wF8uimz-gnzzmqfjHb8Ua7fudqcoq5SrFyToq2B2IO0"",""🌿 In-Kind!A4:I200""),15,5)*1,0),0)"),0.0)</f>
        <v>0</v>
      </c>
      <c r="F155" s="83" t="str">
        <f>IFERROR(__xludf.DUMMYFUNCTION("IFERROR(INDEX(IMPORTRANGE(""1wF8uimz-gnzzmqfjHb8Ua7fudqcoq5SrFyToq2B2IO0"",""🌿 In-Kind!A4:I200""),15,6),"""")"),"")</f>
        <v/>
      </c>
      <c r="G155" s="89" t="str">
        <f>IFERROR(__xludf.DUMMYFUNCTION("IFERROR(INDEX(IMPORTRANGE(""1wF8uimz-gnzzmqfjHb8Ua7fudqcoq5SrFyToq2B2IO0"",""🌿 In-Kind!A4:I200""),15,9),"""")"),"")</f>
        <v/>
      </c>
      <c r="H155" s="82" t="str">
        <f>IFERROR(__xludf.DUMMYFUNCTION("IFERROR(IF(INDEX(IMPORTRANGE(""1wF8uimz-gnzzmqfjHb8Ua7fudqcoq5SrFyToq2B2IO0"",""🌿 In-Kind!A4:I200""),15,7)="""","""",TEXT(INDEX(IMPORTRANGE(""1wF8uimz-gnzzmqfjHb8Ua7fudqcoq5SrFyToq2B2IO0"",""🌿 In-Kind!A4:I200""),15,7),""DD-MM-YYYY"")),"""")"),"")</f>
        <v/>
      </c>
      <c r="I155" s="83" t="str">
        <f>IFERROR(__xludf.DUMMYFUNCTION("IFERROR(INDEX(IMPORTRANGE(""1wF8uimz-gnzzmqfjHb8Ua7fudqcoq5SrFyToq2B2IO0"",""🌿 In-Kind!A4:I200""),15,8),"""")"),"")</f>
        <v/>
      </c>
      <c r="J155" s="36"/>
      <c r="K155" s="36"/>
      <c r="L155" s="36"/>
      <c r="M155" s="36"/>
      <c r="N155" s="36"/>
    </row>
    <row r="156" ht="18.0" customHeight="1">
      <c r="A156" s="22" t="str">
        <f>IFERROR(__xludf.DUMMYFUNCTION("IFERROR(INDEX(IMPORTRANGE(""1wF8uimz-gnzzmqfjHb8Ua7fudqcoq5SrFyToq2B2IO0"",""🌿 In-Kind!A4:I200""),16,1),"""")"),"")</f>
        <v/>
      </c>
      <c r="B156" s="86" t="str">
        <f>IFERROR(__xludf.DUMMYFUNCTION("IFERROR(INDEX(IMPORTRANGE(""1wF8uimz-gnzzmqfjHb8Ua7fudqcoq5SrFyToq2B2IO0"",""🌿 In-Kind!A4:I200""),16,2),"""")"),"")</f>
        <v/>
      </c>
      <c r="C156" s="96" t="str">
        <f>IFERROR(__xludf.DUMMYFUNCTION("IFERROR(INDEX(IMPORTRANGE(""1wF8uimz-gnzzmqfjHb8Ua7fudqcoq5SrFyToq2B2IO0"",""🌿 In-Kind!A4:I200""),16,3),"""")"),"")</f>
        <v/>
      </c>
      <c r="D156" s="54" t="str">
        <f>IFERROR(__xludf.DUMMYFUNCTION("IFERROR(INDEX(IMPORTRANGE(""1wF8uimz-gnzzmqfjHb8Ua7fudqcoq5SrFyToq2B2IO0"",""🌿 In-Kind!A4:I200""),16,4),"""")"),"")</f>
        <v/>
      </c>
      <c r="E156" s="97">
        <f>IFERROR(__xludf.DUMMYFUNCTION("IFERROR(IFERROR(INDEX(IMPORTRANGE(""1wF8uimz-gnzzmqfjHb8Ua7fudqcoq5SrFyToq2B2IO0"",""🌿 In-Kind!A4:I200""),16,5)*1,0),0)"),0.0)</f>
        <v>0</v>
      </c>
      <c r="F156" s="86" t="str">
        <f>IFERROR(__xludf.DUMMYFUNCTION("IFERROR(INDEX(IMPORTRANGE(""1wF8uimz-gnzzmqfjHb8Ua7fudqcoq5SrFyToq2B2IO0"",""🌿 In-Kind!A4:I200""),16,6),"""")"),"")</f>
        <v/>
      </c>
      <c r="G156" s="92" t="str">
        <f>IFERROR(__xludf.DUMMYFUNCTION("IFERROR(INDEX(IMPORTRANGE(""1wF8uimz-gnzzmqfjHb8Ua7fudqcoq5SrFyToq2B2IO0"",""🌿 In-Kind!A4:I200""),16,9),"""")"),"")</f>
        <v/>
      </c>
      <c r="H156" s="85" t="str">
        <f>IFERROR(__xludf.DUMMYFUNCTION("IFERROR(IF(INDEX(IMPORTRANGE(""1wF8uimz-gnzzmqfjHb8Ua7fudqcoq5SrFyToq2B2IO0"",""🌿 In-Kind!A4:I200""),16,7)="""","""",TEXT(INDEX(IMPORTRANGE(""1wF8uimz-gnzzmqfjHb8Ua7fudqcoq5SrFyToq2B2IO0"",""🌿 In-Kind!A4:I200""),16,7),""DD-MM-YYYY"")),"""")"),"")</f>
        <v/>
      </c>
      <c r="I156" s="86" t="str">
        <f>IFERROR(__xludf.DUMMYFUNCTION("IFERROR(INDEX(IMPORTRANGE(""1wF8uimz-gnzzmqfjHb8Ua7fudqcoq5SrFyToq2B2IO0"",""🌿 In-Kind!A4:I200""),16,8),"""")"),"")</f>
        <v/>
      </c>
      <c r="J156" s="37"/>
      <c r="K156" s="37"/>
      <c r="L156" s="37"/>
      <c r="M156" s="37"/>
      <c r="N156" s="37"/>
    </row>
    <row r="157" ht="18.0" customHeight="1">
      <c r="A157" s="19" t="str">
        <f>IFERROR(__xludf.DUMMYFUNCTION("IFERROR(INDEX(IMPORTRANGE(""1wF8uimz-gnzzmqfjHb8Ua7fudqcoq5SrFyToq2B2IO0"",""🌿 In-Kind!A4:I200""),17,1),"""")"),"")</f>
        <v/>
      </c>
      <c r="B157" s="83" t="str">
        <f>IFERROR(__xludf.DUMMYFUNCTION("IFERROR(INDEX(IMPORTRANGE(""1wF8uimz-gnzzmqfjHb8Ua7fudqcoq5SrFyToq2B2IO0"",""🌿 In-Kind!A4:I200""),17,2),"""")"),"")</f>
        <v/>
      </c>
      <c r="C157" s="94" t="str">
        <f>IFERROR(__xludf.DUMMYFUNCTION("IFERROR(INDEX(IMPORTRANGE(""1wF8uimz-gnzzmqfjHb8Ua7fudqcoq5SrFyToq2B2IO0"",""🌿 In-Kind!A4:I200""),17,3),"""")"),"")</f>
        <v/>
      </c>
      <c r="D157" s="50" t="str">
        <f>IFERROR(__xludf.DUMMYFUNCTION("IFERROR(INDEX(IMPORTRANGE(""1wF8uimz-gnzzmqfjHb8Ua7fudqcoq5SrFyToq2B2IO0"",""🌿 In-Kind!A4:I200""),17,4),"""")"),"")</f>
        <v/>
      </c>
      <c r="E157" s="95">
        <f>IFERROR(__xludf.DUMMYFUNCTION("IFERROR(IFERROR(INDEX(IMPORTRANGE(""1wF8uimz-gnzzmqfjHb8Ua7fudqcoq5SrFyToq2B2IO0"",""🌿 In-Kind!A4:I200""),17,5)*1,0),0)"),0.0)</f>
        <v>0</v>
      </c>
      <c r="F157" s="83" t="str">
        <f>IFERROR(__xludf.DUMMYFUNCTION("IFERROR(INDEX(IMPORTRANGE(""1wF8uimz-gnzzmqfjHb8Ua7fudqcoq5SrFyToq2B2IO0"",""🌿 In-Kind!A4:I200""),17,6),"""")"),"")</f>
        <v/>
      </c>
      <c r="G157" s="89" t="str">
        <f>IFERROR(__xludf.DUMMYFUNCTION("IFERROR(INDEX(IMPORTRANGE(""1wF8uimz-gnzzmqfjHb8Ua7fudqcoq5SrFyToq2B2IO0"",""🌿 In-Kind!A4:I200""),17,9),"""")"),"")</f>
        <v/>
      </c>
      <c r="H157" s="82" t="str">
        <f>IFERROR(__xludf.DUMMYFUNCTION("IFERROR(IF(INDEX(IMPORTRANGE(""1wF8uimz-gnzzmqfjHb8Ua7fudqcoq5SrFyToq2B2IO0"",""🌿 In-Kind!A4:I200""),17,7)="""","""",TEXT(INDEX(IMPORTRANGE(""1wF8uimz-gnzzmqfjHb8Ua7fudqcoq5SrFyToq2B2IO0"",""🌿 In-Kind!A4:I200""),17,7),""DD-MM-YYYY"")),"""")"),"")</f>
        <v/>
      </c>
      <c r="I157" s="83" t="str">
        <f>IFERROR(__xludf.DUMMYFUNCTION("IFERROR(INDEX(IMPORTRANGE(""1wF8uimz-gnzzmqfjHb8Ua7fudqcoq5SrFyToq2B2IO0"",""🌿 In-Kind!A4:I200""),17,8),"""")"),"")</f>
        <v/>
      </c>
      <c r="J157" s="36"/>
      <c r="K157" s="36"/>
      <c r="L157" s="36"/>
      <c r="M157" s="36"/>
      <c r="N157" s="36"/>
    </row>
    <row r="158" ht="18.0" customHeight="1">
      <c r="A158" s="22" t="str">
        <f>IFERROR(__xludf.DUMMYFUNCTION("IFERROR(INDEX(IMPORTRANGE(""1wF8uimz-gnzzmqfjHb8Ua7fudqcoq5SrFyToq2B2IO0"",""🌿 In-Kind!A4:I200""),18,1),"""")"),"")</f>
        <v/>
      </c>
      <c r="B158" s="86" t="str">
        <f>IFERROR(__xludf.DUMMYFUNCTION("IFERROR(INDEX(IMPORTRANGE(""1wF8uimz-gnzzmqfjHb8Ua7fudqcoq5SrFyToq2B2IO0"",""🌿 In-Kind!A4:I200""),18,2),"""")"),"")</f>
        <v/>
      </c>
      <c r="C158" s="96" t="str">
        <f>IFERROR(__xludf.DUMMYFUNCTION("IFERROR(INDEX(IMPORTRANGE(""1wF8uimz-gnzzmqfjHb8Ua7fudqcoq5SrFyToq2B2IO0"",""🌿 In-Kind!A4:I200""),18,3),"""")"),"")</f>
        <v/>
      </c>
      <c r="D158" s="54" t="str">
        <f>IFERROR(__xludf.DUMMYFUNCTION("IFERROR(INDEX(IMPORTRANGE(""1wF8uimz-gnzzmqfjHb8Ua7fudqcoq5SrFyToq2B2IO0"",""🌿 In-Kind!A4:I200""),18,4),"""")"),"")</f>
        <v/>
      </c>
      <c r="E158" s="97">
        <f>IFERROR(__xludf.DUMMYFUNCTION("IFERROR(IFERROR(INDEX(IMPORTRANGE(""1wF8uimz-gnzzmqfjHb8Ua7fudqcoq5SrFyToq2B2IO0"",""🌿 In-Kind!A4:I200""),18,5)*1,0),0)"),0.0)</f>
        <v>0</v>
      </c>
      <c r="F158" s="86" t="str">
        <f>IFERROR(__xludf.DUMMYFUNCTION("IFERROR(INDEX(IMPORTRANGE(""1wF8uimz-gnzzmqfjHb8Ua7fudqcoq5SrFyToq2B2IO0"",""🌿 In-Kind!A4:I200""),18,6),"""")"),"")</f>
        <v/>
      </c>
      <c r="G158" s="92" t="str">
        <f>IFERROR(__xludf.DUMMYFUNCTION("IFERROR(INDEX(IMPORTRANGE(""1wF8uimz-gnzzmqfjHb8Ua7fudqcoq5SrFyToq2B2IO0"",""🌿 In-Kind!A4:I200""),18,9),"""")"),"")</f>
        <v/>
      </c>
      <c r="H158" s="85" t="str">
        <f>IFERROR(__xludf.DUMMYFUNCTION("IFERROR(IF(INDEX(IMPORTRANGE(""1wF8uimz-gnzzmqfjHb8Ua7fudqcoq5SrFyToq2B2IO0"",""🌿 In-Kind!A4:I200""),18,7)="""","""",TEXT(INDEX(IMPORTRANGE(""1wF8uimz-gnzzmqfjHb8Ua7fudqcoq5SrFyToq2B2IO0"",""🌿 In-Kind!A4:I200""),18,7),""DD-MM-YYYY"")),"""")"),"")</f>
        <v/>
      </c>
      <c r="I158" s="86" t="str">
        <f>IFERROR(__xludf.DUMMYFUNCTION("IFERROR(INDEX(IMPORTRANGE(""1wF8uimz-gnzzmqfjHb8Ua7fudqcoq5SrFyToq2B2IO0"",""🌿 In-Kind!A4:I200""),18,8),"""")"),"")</f>
        <v/>
      </c>
      <c r="J158" s="37"/>
      <c r="K158" s="37"/>
      <c r="L158" s="37"/>
      <c r="M158" s="37"/>
      <c r="N158" s="37"/>
    </row>
    <row r="159" ht="18.0" customHeight="1">
      <c r="A159" s="19" t="str">
        <f>IFERROR(__xludf.DUMMYFUNCTION("IFERROR(INDEX(IMPORTRANGE(""1wF8uimz-gnzzmqfjHb8Ua7fudqcoq5SrFyToq2B2IO0"",""🌿 In-Kind!A4:I200""),19,1),"""")"),"")</f>
        <v/>
      </c>
      <c r="B159" s="83" t="str">
        <f>IFERROR(__xludf.DUMMYFUNCTION("IFERROR(INDEX(IMPORTRANGE(""1wF8uimz-gnzzmqfjHb8Ua7fudqcoq5SrFyToq2B2IO0"",""🌿 In-Kind!A4:I200""),19,2),"""")"),"")</f>
        <v/>
      </c>
      <c r="C159" s="94" t="str">
        <f>IFERROR(__xludf.DUMMYFUNCTION("IFERROR(INDEX(IMPORTRANGE(""1wF8uimz-gnzzmqfjHb8Ua7fudqcoq5SrFyToq2B2IO0"",""🌿 In-Kind!A4:I200""),19,3),"""")"),"")</f>
        <v/>
      </c>
      <c r="D159" s="50" t="str">
        <f>IFERROR(__xludf.DUMMYFUNCTION("IFERROR(INDEX(IMPORTRANGE(""1wF8uimz-gnzzmqfjHb8Ua7fudqcoq5SrFyToq2B2IO0"",""🌿 In-Kind!A4:I200""),19,4),"""")"),"")</f>
        <v/>
      </c>
      <c r="E159" s="95">
        <f>IFERROR(__xludf.DUMMYFUNCTION("IFERROR(IFERROR(INDEX(IMPORTRANGE(""1wF8uimz-gnzzmqfjHb8Ua7fudqcoq5SrFyToq2B2IO0"",""🌿 In-Kind!A4:I200""),19,5)*1,0),0)"),0.0)</f>
        <v>0</v>
      </c>
      <c r="F159" s="83" t="str">
        <f>IFERROR(__xludf.DUMMYFUNCTION("IFERROR(INDEX(IMPORTRANGE(""1wF8uimz-gnzzmqfjHb8Ua7fudqcoq5SrFyToq2B2IO0"",""🌿 In-Kind!A4:I200""),19,6),"""")"),"")</f>
        <v/>
      </c>
      <c r="G159" s="89" t="str">
        <f>IFERROR(__xludf.DUMMYFUNCTION("IFERROR(INDEX(IMPORTRANGE(""1wF8uimz-gnzzmqfjHb8Ua7fudqcoq5SrFyToq2B2IO0"",""🌿 In-Kind!A4:I200""),19,9),"""")"),"")</f>
        <v/>
      </c>
      <c r="H159" s="82" t="str">
        <f>IFERROR(__xludf.DUMMYFUNCTION("IFERROR(IF(INDEX(IMPORTRANGE(""1wF8uimz-gnzzmqfjHb8Ua7fudqcoq5SrFyToq2B2IO0"",""🌿 In-Kind!A4:I200""),19,7)="""","""",TEXT(INDEX(IMPORTRANGE(""1wF8uimz-gnzzmqfjHb8Ua7fudqcoq5SrFyToq2B2IO0"",""🌿 In-Kind!A4:I200""),19,7),""DD-MM-YYYY"")),"""")"),"")</f>
        <v/>
      </c>
      <c r="I159" s="83" t="str">
        <f>IFERROR(__xludf.DUMMYFUNCTION("IFERROR(INDEX(IMPORTRANGE(""1wF8uimz-gnzzmqfjHb8Ua7fudqcoq5SrFyToq2B2IO0"",""🌿 In-Kind!A4:I200""),19,8),"""")"),"")</f>
        <v/>
      </c>
      <c r="J159" s="36"/>
      <c r="K159" s="36"/>
      <c r="L159" s="36"/>
      <c r="M159" s="36"/>
      <c r="N159" s="36"/>
    </row>
    <row r="160" ht="18.0" customHeight="1">
      <c r="A160" s="22" t="str">
        <f>IFERROR(__xludf.DUMMYFUNCTION("IFERROR(INDEX(IMPORTRANGE(""1wF8uimz-gnzzmqfjHb8Ua7fudqcoq5SrFyToq2B2IO0"",""🌿 In-Kind!A4:I200""),20,1),"""")"),"")</f>
        <v/>
      </c>
      <c r="B160" s="86" t="str">
        <f>IFERROR(__xludf.DUMMYFUNCTION("IFERROR(INDEX(IMPORTRANGE(""1wF8uimz-gnzzmqfjHb8Ua7fudqcoq5SrFyToq2B2IO0"",""🌿 In-Kind!A4:I200""),20,2),"""")"),"")</f>
        <v/>
      </c>
      <c r="C160" s="96" t="str">
        <f>IFERROR(__xludf.DUMMYFUNCTION("IFERROR(INDEX(IMPORTRANGE(""1wF8uimz-gnzzmqfjHb8Ua7fudqcoq5SrFyToq2B2IO0"",""🌿 In-Kind!A4:I200""),20,3),"""")"),"")</f>
        <v/>
      </c>
      <c r="D160" s="54" t="str">
        <f>IFERROR(__xludf.DUMMYFUNCTION("IFERROR(INDEX(IMPORTRANGE(""1wF8uimz-gnzzmqfjHb8Ua7fudqcoq5SrFyToq2B2IO0"",""🌿 In-Kind!A4:I200""),20,4),"""")"),"")</f>
        <v/>
      </c>
      <c r="E160" s="97">
        <f>IFERROR(__xludf.DUMMYFUNCTION("IFERROR(IFERROR(INDEX(IMPORTRANGE(""1wF8uimz-gnzzmqfjHb8Ua7fudqcoq5SrFyToq2B2IO0"",""🌿 In-Kind!A4:I200""),20,5)*1,0),0)"),0.0)</f>
        <v>0</v>
      </c>
      <c r="F160" s="86" t="str">
        <f>IFERROR(__xludf.DUMMYFUNCTION("IFERROR(INDEX(IMPORTRANGE(""1wF8uimz-gnzzmqfjHb8Ua7fudqcoq5SrFyToq2B2IO0"",""🌿 In-Kind!A4:I200""),20,6),"""")"),"")</f>
        <v/>
      </c>
      <c r="G160" s="92" t="str">
        <f>IFERROR(__xludf.DUMMYFUNCTION("IFERROR(INDEX(IMPORTRANGE(""1wF8uimz-gnzzmqfjHb8Ua7fudqcoq5SrFyToq2B2IO0"",""🌿 In-Kind!A4:I200""),20,9),"""")"),"")</f>
        <v/>
      </c>
      <c r="H160" s="85" t="str">
        <f>IFERROR(__xludf.DUMMYFUNCTION("IFERROR(IF(INDEX(IMPORTRANGE(""1wF8uimz-gnzzmqfjHb8Ua7fudqcoq5SrFyToq2B2IO0"",""🌿 In-Kind!A4:I200""),20,7)="""","""",TEXT(INDEX(IMPORTRANGE(""1wF8uimz-gnzzmqfjHb8Ua7fudqcoq5SrFyToq2B2IO0"",""🌿 In-Kind!A4:I200""),20,7),""DD-MM-YYYY"")),"""")"),"")</f>
        <v/>
      </c>
      <c r="I160" s="86" t="str">
        <f>IFERROR(__xludf.DUMMYFUNCTION("IFERROR(INDEX(IMPORTRANGE(""1wF8uimz-gnzzmqfjHb8Ua7fudqcoq5SrFyToq2B2IO0"",""🌿 In-Kind!A4:I200""),20,8),"""")"),"")</f>
        <v/>
      </c>
      <c r="J160" s="37"/>
      <c r="K160" s="37"/>
      <c r="L160" s="37"/>
      <c r="M160" s="37"/>
      <c r="N160" s="37"/>
    </row>
    <row r="161" ht="19.5" customHeight="1">
      <c r="A161" s="33" t="s">
        <v>118</v>
      </c>
      <c r="B161" s="2"/>
      <c r="C161" s="2"/>
      <c r="D161" s="3"/>
      <c r="E161" s="34">
        <f>SUMPRODUCT((A141:A160&lt;&gt;"")*E141:E160)</f>
        <v>0</v>
      </c>
      <c r="F161" s="38"/>
      <c r="G161" s="38"/>
      <c r="H161" s="38"/>
      <c r="I161" s="38"/>
      <c r="J161" s="38"/>
      <c r="K161" s="38"/>
      <c r="L161" s="38"/>
      <c r="M161" s="38"/>
      <c r="N161" s="38"/>
    </row>
    <row r="162" ht="6.0" customHeight="1"/>
    <row r="163" ht="18.0" customHeight="1">
      <c r="A163" s="51" t="s">
        <v>122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6:C136"/>
    <mergeCell ref="A137:C137"/>
    <mergeCell ref="A139:N139"/>
    <mergeCell ref="A163:N163"/>
    <mergeCell ref="B129:C129"/>
    <mergeCell ref="B130:C130"/>
    <mergeCell ref="B131:C131"/>
    <mergeCell ref="B132:C132"/>
    <mergeCell ref="B133:C133"/>
    <mergeCell ref="B134:C134"/>
    <mergeCell ref="B135:C135"/>
    <mergeCell ref="A161:D161"/>
    <mergeCell ref="D9:N9"/>
    <mergeCell ref="D10:N10"/>
    <mergeCell ref="D11:N11"/>
    <mergeCell ref="D12:N12"/>
    <mergeCell ref="D13:N13"/>
    <mergeCell ref="D14:N14"/>
    <mergeCell ref="D15:N15"/>
    <mergeCell ref="D16:N16"/>
    <mergeCell ref="A1:N1"/>
    <mergeCell ref="A2:N2"/>
    <mergeCell ref="A4:N4"/>
    <mergeCell ref="B5:C5"/>
    <mergeCell ref="E5:N5"/>
    <mergeCell ref="E6:N6"/>
    <mergeCell ref="A8:N8"/>
    <mergeCell ref="A15:C15"/>
    <mergeCell ref="A16:C16"/>
    <mergeCell ref="A18:N18"/>
    <mergeCell ref="A31:N31"/>
    <mergeCell ref="A39:N39"/>
    <mergeCell ref="B6:C6"/>
    <mergeCell ref="A9:C9"/>
    <mergeCell ref="A10:C10"/>
    <mergeCell ref="A11:C11"/>
    <mergeCell ref="A12:C12"/>
    <mergeCell ref="A13:C13"/>
    <mergeCell ref="A14:C14"/>
    <mergeCell ref="A29:C29"/>
    <mergeCell ref="B32:C32"/>
    <mergeCell ref="B33:C33"/>
    <mergeCell ref="B34:C34"/>
    <mergeCell ref="B35:C35"/>
    <mergeCell ref="B36:C36"/>
    <mergeCell ref="A37:C37"/>
    <mergeCell ref="A71:E71"/>
    <mergeCell ref="A73:N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A83:C83"/>
    <mergeCell ref="A85:N85"/>
    <mergeCell ref="B86:C86"/>
  </mergeCells>
  <hyperlinks>
    <hyperlink r:id="rId1" ref="A163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60.0"/>
    <col customWidth="1" min="3" max="3" width="20.0"/>
    <col customWidth="1" min="4" max="4" width="22.0"/>
    <col customWidth="1" min="5" max="26" width="8.71"/>
  </cols>
  <sheetData>
    <row r="1" ht="30.0" customHeight="1">
      <c r="A1" s="1" t="s">
        <v>123</v>
      </c>
      <c r="B1" s="2"/>
      <c r="C1" s="2"/>
      <c r="D1" s="3"/>
    </row>
    <row r="2" ht="27.75" customHeight="1">
      <c r="A2" s="98" t="s">
        <v>124</v>
      </c>
      <c r="B2" s="2"/>
      <c r="C2" s="2"/>
      <c r="D2" s="3"/>
    </row>
    <row r="3" ht="6.0" customHeight="1"/>
    <row r="4" ht="19.5" customHeight="1">
      <c r="A4" s="17" t="s">
        <v>55</v>
      </c>
      <c r="B4" s="17" t="s">
        <v>125</v>
      </c>
      <c r="C4" s="17" t="s">
        <v>47</v>
      </c>
      <c r="D4" s="17" t="s">
        <v>126</v>
      </c>
    </row>
    <row r="5" ht="19.5" customHeight="1">
      <c r="A5" s="99" t="s">
        <v>59</v>
      </c>
      <c r="B5" s="100" t="s">
        <v>127</v>
      </c>
      <c r="C5" s="101" t="s">
        <v>128</v>
      </c>
      <c r="D5" s="102" t="s">
        <v>60</v>
      </c>
      <c r="E5" s="103" t="str">
        <f>IFERROR(__xludf.DUMMYFUNCTION("IMPORTRANGE(""1wF8uimz-gnzzmqfjHb8Ua7fudqcoq5SrFyToq2B2IO0"",""A1"")"),"")</f>
        <v/>
      </c>
    </row>
    <row r="6" ht="19.5" customHeight="1">
      <c r="A6" s="104" t="s">
        <v>63</v>
      </c>
      <c r="B6" s="105" t="s">
        <v>129</v>
      </c>
      <c r="C6" s="106" t="s">
        <v>128</v>
      </c>
      <c r="D6" s="107" t="s">
        <v>64</v>
      </c>
      <c r="E6" s="103" t="str">
        <f>IFERROR(__xludf.DUMMYFUNCTION("IMPORTRANGE(""12PgU-zwv8gBrFfxvJpoPIPcxUHWup-vsxMH3HWUigZ8"",""A1"")"),"")</f>
        <v/>
      </c>
    </row>
    <row r="9" ht="19.5" customHeight="1">
      <c r="A9" s="5" t="s">
        <v>130</v>
      </c>
      <c r="B9" s="2"/>
      <c r="C9" s="2"/>
      <c r="D9" s="3"/>
    </row>
    <row r="10" ht="15.75" customHeight="1">
      <c r="A10" s="108" t="s">
        <v>131</v>
      </c>
      <c r="B10" s="2"/>
      <c r="C10" s="2"/>
      <c r="D10" s="3"/>
    </row>
    <row r="11" ht="15.75" customHeight="1">
      <c r="A11" s="109" t="s">
        <v>132</v>
      </c>
      <c r="B11" s="2"/>
      <c r="C11" s="2"/>
      <c r="D11" s="3"/>
    </row>
    <row r="12" ht="15.75" customHeight="1">
      <c r="A12" s="108" t="s">
        <v>133</v>
      </c>
      <c r="B12" s="2"/>
      <c r="C12" s="2"/>
      <c r="D12" s="3"/>
    </row>
    <row r="13" ht="15.75" customHeight="1">
      <c r="A13" s="109" t="s">
        <v>134</v>
      </c>
      <c r="B13" s="2"/>
      <c r="C13" s="2"/>
      <c r="D13" s="3"/>
    </row>
    <row r="14" ht="15.75" customHeight="1">
      <c r="A14" s="108" t="s">
        <v>135</v>
      </c>
      <c r="B14" s="2"/>
      <c r="C14" s="2"/>
      <c r="D14" s="3"/>
    </row>
    <row r="15" ht="15.75" customHeight="1">
      <c r="A15" s="109" t="s">
        <v>136</v>
      </c>
      <c r="B15" s="2"/>
      <c r="C15" s="2"/>
      <c r="D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4:D14"/>
    <mergeCell ref="A15:D15"/>
    <mergeCell ref="A1:D1"/>
    <mergeCell ref="A2:D2"/>
    <mergeCell ref="A9:D9"/>
    <mergeCell ref="A10:D10"/>
    <mergeCell ref="A11:D11"/>
    <mergeCell ref="A12:D12"/>
    <mergeCell ref="A13:D1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85.0"/>
    <col customWidth="1" min="3" max="26" width="8.71"/>
  </cols>
  <sheetData>
    <row r="1" ht="30.0" customHeight="1">
      <c r="A1" s="1" t="s">
        <v>137</v>
      </c>
      <c r="B1" s="3"/>
    </row>
    <row r="2" ht="6.0" customHeight="1"/>
    <row r="3" ht="19.5" customHeight="1">
      <c r="A3" s="5" t="s">
        <v>138</v>
      </c>
      <c r="B3" s="3"/>
    </row>
    <row r="4" ht="15.75" customHeight="1">
      <c r="B4" s="94" t="s">
        <v>139</v>
      </c>
    </row>
    <row r="5" ht="15.75" customHeight="1">
      <c r="B5" s="96" t="s">
        <v>140</v>
      </c>
    </row>
    <row r="6" ht="15.75" customHeight="1">
      <c r="B6" s="94" t="s">
        <v>141</v>
      </c>
    </row>
    <row r="7" ht="15.75" customHeight="1">
      <c r="B7" s="96" t="s">
        <v>142</v>
      </c>
    </row>
    <row r="8" ht="15.75" customHeight="1">
      <c r="B8" s="94" t="s">
        <v>143</v>
      </c>
    </row>
    <row r="9" ht="6.0" customHeight="1"/>
    <row r="10" ht="19.5" customHeight="1">
      <c r="A10" s="5" t="s">
        <v>144</v>
      </c>
      <c r="B10" s="3"/>
    </row>
    <row r="11" ht="15.75" customHeight="1">
      <c r="B11" s="96" t="s">
        <v>145</v>
      </c>
    </row>
    <row r="12" ht="15.75" customHeight="1">
      <c r="B12" s="94" t="s">
        <v>146</v>
      </c>
    </row>
    <row r="13" ht="15.75" customHeight="1">
      <c r="B13" s="96" t="s">
        <v>147</v>
      </c>
    </row>
    <row r="14" ht="15.75" customHeight="1">
      <c r="B14" s="94" t="s">
        <v>148</v>
      </c>
    </row>
    <row r="15" ht="15.75" customHeight="1">
      <c r="B15" s="96" t="s">
        <v>149</v>
      </c>
    </row>
    <row r="16" ht="15.75" customHeight="1">
      <c r="B16" s="94" t="s">
        <v>150</v>
      </c>
    </row>
    <row r="17" ht="15.75" customHeight="1">
      <c r="B17" s="96" t="s">
        <v>151</v>
      </c>
    </row>
    <row r="18" ht="6.0" customHeight="1"/>
    <row r="19" ht="19.5" customHeight="1">
      <c r="A19" s="5" t="s">
        <v>152</v>
      </c>
      <c r="B19" s="3"/>
    </row>
    <row r="20" ht="15.75" customHeight="1">
      <c r="B20" s="94" t="s">
        <v>153</v>
      </c>
    </row>
    <row r="21" ht="15.75" customHeight="1">
      <c r="B21" s="96" t="s">
        <v>154</v>
      </c>
    </row>
    <row r="22" ht="15.75" customHeight="1">
      <c r="B22" s="94" t="s">
        <v>155</v>
      </c>
    </row>
    <row r="23" ht="6.0" customHeight="1"/>
    <row r="24" ht="19.5" customHeight="1">
      <c r="A24" s="5" t="s">
        <v>156</v>
      </c>
      <c r="B24" s="3"/>
    </row>
    <row r="25" ht="15.75" customHeight="1">
      <c r="B25" s="96" t="s">
        <v>157</v>
      </c>
    </row>
    <row r="26" ht="15.75" customHeight="1">
      <c r="B26" s="94" t="s">
        <v>158</v>
      </c>
    </row>
    <row r="27" ht="15.75" customHeight="1">
      <c r="B27" s="96" t="s">
        <v>159</v>
      </c>
    </row>
    <row r="28" ht="6.0" customHeight="1"/>
    <row r="29" ht="19.5" customHeight="1">
      <c r="A29" s="5" t="s">
        <v>160</v>
      </c>
      <c r="B29" s="3"/>
    </row>
    <row r="30" ht="15.75" customHeight="1">
      <c r="B30" s="94" t="s">
        <v>161</v>
      </c>
    </row>
    <row r="31" ht="15.75" customHeight="1">
      <c r="B31" s="96" t="s">
        <v>162</v>
      </c>
    </row>
    <row r="32" ht="15.75" customHeight="1">
      <c r="B32" s="94" t="s">
        <v>163</v>
      </c>
    </row>
    <row r="33" ht="15.75" customHeight="1">
      <c r="B33" s="96" t="s">
        <v>164</v>
      </c>
    </row>
    <row r="34" ht="6.0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10:B10"/>
    <mergeCell ref="A19:B19"/>
    <mergeCell ref="A24:B24"/>
    <mergeCell ref="A29:B29"/>
  </mergeCells>
  <printOptions/>
  <pageMargins bottom="1.0" footer="0.0" header="0.0" left="0.75" right="0.75" top="1.0"/>
  <pageSetup orientation="landscape"/>
  <drawing r:id="rId1"/>
</worksheet>
</file>